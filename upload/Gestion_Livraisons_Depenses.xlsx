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HALID\Desktop\"/>
    </mc:Choice>
  </mc:AlternateContent>
  <xr:revisionPtr revIDLastSave="0" documentId="13_ncr:1_{D8223E65-B802-4849-ACEF-544911BC6FD5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جدول العملاء" sheetId="1" r:id="rId1"/>
    <sheet name="الشحنات والطلبيات" sheetId="2" r:id="rId2"/>
    <sheet name="المصاريف التشغيلية" sheetId="3" r:id="rId3"/>
    <sheet name="الحصيلة الأسبوعية" sheetId="4" r:id="rId4"/>
    <sheet name="وصل التسليم" sheetId="5" r:id="rId5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5" l="1"/>
  <c r="C11" i="5" s="1"/>
  <c r="B9" i="5"/>
  <c r="C9" i="5" s="1"/>
  <c r="D5" i="5"/>
  <c r="B5" i="5"/>
  <c r="A9" i="5" s="1"/>
  <c r="D4" i="5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E5" i="4"/>
  <c r="E4" i="4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F5" i="4" l="1"/>
  <c r="G5" i="4" s="1"/>
  <c r="F4" i="4"/>
  <c r="G4" i="4" s="1"/>
</calcChain>
</file>

<file path=xl/sharedStrings.xml><?xml version="1.0" encoding="utf-8"?>
<sst xmlns="http://schemas.openxmlformats.org/spreadsheetml/2006/main" count="87" uniqueCount="75">
  <si>
    <t>١. جدول العملاء (الزبناء)</t>
  </si>
  <si>
    <t>تسجيل بيانات الزبناء والشركات المتعامل معها، لإعادة استخدامها بسهولة في جدول الشحنات.</t>
  </si>
  <si>
    <t>الرقم التعريفي للزبون</t>
  </si>
  <si>
    <t>اسم الزبون / الشركة</t>
  </si>
  <si>
    <t>رقم الهاتف</t>
  </si>
  <si>
    <t>شركة الأمل للتجارة</t>
  </si>
  <si>
    <t>0661234567</t>
  </si>
  <si>
    <t>الدار البيضاء</t>
  </si>
  <si>
    <t>مؤسسة النور للتوزيع</t>
  </si>
  <si>
    <t>0662345678</t>
  </si>
  <si>
    <t>الرباط</t>
  </si>
  <si>
    <t>متجر الأناقة الحديثة</t>
  </si>
  <si>
    <t>0663456789</t>
  </si>
  <si>
    <t>طنجة</t>
  </si>
  <si>
    <t>الصفوف الصفراء = أمثلة، يمكن تعديلها أو حذفها. النص الأزرق في الأوراق الأخرى = خانة للتعبئة.</t>
  </si>
  <si>
    <t>٢. جدول الشحنات والطلبيات</t>
  </si>
  <si>
    <t>السجل الرئيسي لتتبع كافة الشحنات المنقولة، اسم الشريك أو صاحب المركبة، وقيمة الشحنة.</t>
  </si>
  <si>
    <t>رقم الشحنة</t>
  </si>
  <si>
    <t>التاريخ</t>
  </si>
  <si>
    <t>اسم صاحب المركبة
(الشريك)</t>
  </si>
  <si>
    <t>رقم تسجيل
المركبة</t>
  </si>
  <si>
    <t>اسم الزبون</t>
  </si>
  <si>
    <t>عدد الطرود</t>
  </si>
  <si>
    <t>المبلغ الإجمالي
(د.م.)</t>
  </si>
  <si>
    <t>حالة الشحنة</t>
  </si>
  <si>
    <t>SHP-1001</t>
  </si>
  <si>
    <t>أحمد العلمي</t>
  </si>
  <si>
    <t>12345-أ-6</t>
  </si>
  <si>
    <t>تم التسليم</t>
  </si>
  <si>
    <t>SHP-1002</t>
  </si>
  <si>
    <t>ياسين بنجلون</t>
  </si>
  <si>
    <t>67890-ب-12</t>
  </si>
  <si>
    <t>SHP-1003</t>
  </si>
  <si>
    <t>قيد التوصيل</t>
  </si>
  <si>
    <t>اسم الزبون = قائمة منسدلة من جدول العملاء. اكتب اسم الشريك بنفس الطريقة في كل مرة (يُستعمل في جدول الحصيلة الأسبوعية).</t>
  </si>
  <si>
    <t>٣. جدول المصاريف التشغيلية</t>
  </si>
  <si>
    <t>يُستخدم لتقييد جميع المصاريف المقترنة بالشحنات والمركبات، لضمان حساب الربحية بدقة.</t>
  </si>
  <si>
    <t>رقم المصروف</t>
  </si>
  <si>
    <t>تاريخ المصروف</t>
  </si>
  <si>
    <t>رقم الشحنة
(رابط)</t>
  </si>
  <si>
    <t>نوع المصروف</t>
  </si>
  <si>
    <t>المبلغ
(د.م.)</t>
  </si>
  <si>
    <t>ملاحظات / البيان</t>
  </si>
  <si>
    <t>اسم صاحب المركبة
(تلقائي)</t>
  </si>
  <si>
    <t>EXP-001</t>
  </si>
  <si>
    <t>وقود</t>
  </si>
  <si>
    <t>تعبئة وقود محطة إفريقيا</t>
  </si>
  <si>
    <t>EXP-002</t>
  </si>
  <si>
    <t>رسوم الطريق (أوتوروت)</t>
  </si>
  <si>
    <t>تول الطريق السيار الرباط</t>
  </si>
  <si>
    <t>EXP-003</t>
  </si>
  <si>
    <t>صيانة خفيفة</t>
  </si>
  <si>
    <t>إصلاح عجلة المركبة</t>
  </si>
  <si>
    <t>عمود 'اسم صاحب المركبة' يُحسب تلقائياً انطلاقاً من رقم الشحنة، ويُستعمل في جدول الحصيلة الأسبوعية.</t>
  </si>
  <si>
    <t>٤. جدول الحصيلة والتقرير الأسبوعي</t>
  </si>
  <si>
    <t>يحتسب مجموع المداخيل والمصاريف لكل شريك خلال الفترة المحددة، ويستخرج الربح الصافي تلقائياً.</t>
  </si>
  <si>
    <t>الأسبوع / الفترة</t>
  </si>
  <si>
    <t>من تاريخ</t>
  </si>
  <si>
    <t>إلى تاريخ</t>
  </si>
  <si>
    <t>مجموع المداخيل
(د.م.)</t>
  </si>
  <si>
    <t>مجموع المصاريف
(د.م.)</t>
  </si>
  <si>
    <t>الربح الصافي
(د.م.)</t>
  </si>
  <si>
    <t>الأسبوع 31 (أغسطس 2026)</t>
  </si>
  <si>
    <t>أضف سطراً جديداً لكل شريك كل أسبوع (أو كل فترة). عمودا 'من تاريخ' و 'إلى تاريخ' يحددان الفترة المحسوبة تلقائياً من الشحنات والمصاريف. اكتب اسم الشريك بنفس الإملاء المستعمل في جدول الشحنات.</t>
  </si>
  <si>
    <t>وصل تسليم شحنة (Bon de Livraison)</t>
  </si>
  <si>
    <t>رقم الوصل:</t>
  </si>
  <si>
    <t>التاريخ:</t>
  </si>
  <si>
    <t>اسم الزبون:</t>
  </si>
  <si>
    <t>حالة الشحنة:</t>
  </si>
  <si>
    <t>وصف الشحنة / البيانات</t>
  </si>
  <si>
    <t>سعر الطرد
(د.م.)</t>
  </si>
  <si>
    <t>المجموع الصافي الإجمالي:</t>
  </si>
  <si>
    <t>توقيع واستلام الزبون:</t>
  </si>
  <si>
    <t>توقيع الناقل / السائق:</t>
  </si>
  <si>
    <t xml:space="preserve"> العنوان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</si>
</sst>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د.م.&quot;"/>
  </numFmts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i/>
      <sz val="8"/>
      <color rgb="FF59595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3"/>
      <color rgb="FF1F4E78"/>
      <name val="Arial"/>
      <charset val="1"/>
    </font>
    <font>
      <i/>
      <sz val="10"/>
      <color rgb="FF0000FF"/>
      <name val="Arial"/>
      <family val="2"/>
    </font>
    <font>
      <i/>
      <sz val="11"/>
      <color theme="1"/>
      <name val="Calibri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1F4E78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165" fontId="9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0" xfId="0" applyFont="1"/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1" fillId="0" borderId="0" xfId="0" applyFont="1"/>
    <xf numFmtId="0" fontId="1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د.م.&quot;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د.م.&quot;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د.م.&quot;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dd/mm/yyyy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dd/mm/yyyy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595959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د.م.&quot;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dd/mm/yyyy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د.م.&quot;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dd/mm/yyyy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FFFFF"/>
          <bgColor rgb="FFFFF2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FFFFF"/>
          <bgColor rgb="FFFFF2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FFFFF"/>
          <bgColor rgb="FFFFF2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FFFFF"/>
          <bgColor rgb="FFFFF2CC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D2F6A-9383-4711-949E-3CD203EDCD5E}" name="Table1" displayName="Table1" ref="A3:D8" totalsRowShown="0" headerRowDxfId="36" headerRowBorderDxfId="42" tableBorderDxfId="43" totalsRowBorderDxfId="41">
  <autoFilter ref="A3:D8" xr:uid="{323D2F6A-9383-4711-949E-3CD203EDCD5E}"/>
  <tableColumns count="4">
    <tableColumn id="1" xr3:uid="{A26BEB36-4CD9-4BD3-943F-A5ACCF87C300}" name="الرقم التعريفي للزبون" dataDxfId="40"/>
    <tableColumn id="2" xr3:uid="{40C0F1A8-A1E0-4DDE-A59C-662F25C64D59}" name="اسم الزبون / الشركة" dataDxfId="39"/>
    <tableColumn id="3" xr3:uid="{9BFBCBF6-D5E7-4CE5-8772-2A12EBB93B00}" name="رقم الهاتف" dataDxfId="38"/>
    <tableColumn id="4" xr3:uid="{8CD6A974-3266-467C-959A-41358E5F3AE1}" name=" العنوان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95619-B71F-4A13-88F4-76C73FC9D9A1}" name="Table2" displayName="Table2" ref="A3:H9" totalsRowShown="0" headerRowDxfId="24" headerRowBorderDxfId="34" tableBorderDxfId="35" totalsRowBorderDxfId="33">
  <autoFilter ref="A3:H9" xr:uid="{D6195619-B71F-4A13-88F4-76C73FC9D9A1}"/>
  <tableColumns count="8">
    <tableColumn id="1" xr3:uid="{DB97E0FF-F5ED-4530-B0D8-06F51177D70A}" name="رقم الشحنة" dataDxfId="32"/>
    <tableColumn id="2" xr3:uid="{037008FC-14AB-434C-8294-99FAE8387538}" name="التاريخ" dataDxfId="31"/>
    <tableColumn id="3" xr3:uid="{56B2BC0E-788D-40C8-A0BF-30B6404CCE50}" name="اسم صاحب المركبة_x000a_(الشريك)" dataDxfId="30"/>
    <tableColumn id="4" xr3:uid="{52D9AE5B-B8B1-4957-AA0A-4D3812217499}" name="رقم تسجيل_x000a_المركبة" dataDxfId="29"/>
    <tableColumn id="5" xr3:uid="{C6381936-06E4-4413-9458-DCF99C29F724}" name="اسم الزبون" dataDxfId="28"/>
    <tableColumn id="6" xr3:uid="{73B1A409-E0D5-47C0-91BD-8CEDED514A08}" name="عدد الطرود" dataDxfId="27"/>
    <tableColumn id="7" xr3:uid="{654F9A95-39C3-4780-B4C7-EDB311E76345}" name="المبلغ الإجمالي_x000a_(د.م.)" dataDxfId="26"/>
    <tableColumn id="8" xr3:uid="{E99512E1-E808-471A-B56B-22E8592B686B}" name="حالة الشحنة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9DDE39-1C12-4C53-853E-D8B05B74A446}" name="Table3" displayName="Table3" ref="A3:G12" totalsRowShown="0" headerRowDxfId="12" dataDxfId="13" headerRowBorderDxfId="22" tableBorderDxfId="23" totalsRowBorderDxfId="21">
  <autoFilter ref="A3:G12" xr:uid="{369DDE39-1C12-4C53-853E-D8B05B74A446}"/>
  <tableColumns count="7">
    <tableColumn id="1" xr3:uid="{AE2D04EC-DB6E-4333-93AA-646F6E5272EF}" name="رقم المصروف" dataDxfId="20"/>
    <tableColumn id="2" xr3:uid="{621FBEBB-7FEF-45AE-AF1B-9E525CADD07D}" name="تاريخ المصروف" dataDxfId="19"/>
    <tableColumn id="3" xr3:uid="{6549999A-76D1-4338-A206-D717BB714B9F}" name="رقم الشحنة_x000a_(رابط)" dataDxfId="18"/>
    <tableColumn id="4" xr3:uid="{5A0985B3-12E9-4F1E-AE80-16E72C6BA029}" name="نوع المصروف" dataDxfId="17"/>
    <tableColumn id="5" xr3:uid="{3DF8CD26-5D70-443B-92FB-C7075C26C5F5}" name="المبلغ_x000a_(د.م.)" dataDxfId="16"/>
    <tableColumn id="6" xr3:uid="{83A89619-FE8E-4F7A-9BE5-8E017256198B}" name="ملاحظات / البيان" dataDxfId="15"/>
    <tableColumn id="7" xr3:uid="{421E02B5-378D-4331-B151-AE3FCDB5223C}" name="اسم صاحب المركبة_x000a_(تلقائي)" dataDxfId="14">
      <calculatedColumnFormula>IF(C4="","",IFERROR(VLOOKUP(C4,'الشحنات والطلبيات'!$A:$H,3,FALSE()),"رقم غير موجود"))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09AD5D-5F6C-42ED-9885-AD457C919A52}" name="Table4" displayName="Table4" ref="A3:G9" totalsRowShown="0" headerRowDxfId="0" dataDxfId="1" headerRowBorderDxfId="10" tableBorderDxfId="11" totalsRowBorderDxfId="9">
  <autoFilter ref="A3:G9" xr:uid="{1209AD5D-5F6C-42ED-9885-AD457C919A52}"/>
  <tableColumns count="7">
    <tableColumn id="1" xr3:uid="{DCF096E8-AEAF-464F-B34E-69CFA59B643B}" name="الأسبوع / الفترة" dataDxfId="8"/>
    <tableColumn id="2" xr3:uid="{7C1797F2-7662-4571-869B-47BD88E40A07}" name="من تاريخ" dataDxfId="7"/>
    <tableColumn id="3" xr3:uid="{286ECB93-EC3A-4A94-8D3A-C6D44077EB09}" name="إلى تاريخ" dataDxfId="6"/>
    <tableColumn id="4" xr3:uid="{11AB389E-1F24-496B-8806-E952C7284A78}" name="اسم صاحب المركبة_x000a_(الشريك)" dataDxfId="5"/>
    <tableColumn id="5" xr3:uid="{D864BFEB-F058-4ACC-85EF-ED0834CA41EC}" name="مجموع المداخيل_x000a_(د.م.)" dataDxfId="4">
      <calculatedColumnFormula>IF($D4="","",SUMIFS('الشحنات والطلبيات'!$G$4:$G$53,'الشحنات والطلبيات'!$C$4:$C$53,$D4,'الشحنات والطلبيات'!$B$4:$B$53,"&gt;="&amp;$B4,'الشحنات والطلبيات'!$B$4:$B$53,"&lt;="&amp;$C4))</calculatedColumnFormula>
    </tableColumn>
    <tableColumn id="6" xr3:uid="{CA2CACE4-E1C0-4C32-AFD0-3CBEDF2C57C6}" name="مجموع المصاريف_x000a_(د.م.)" dataDxfId="3">
      <calculatedColumnFormula>IF($D4="","",SUMIFS('المصاريف التشغيلية'!$E$4:$E$53,'المصاريف التشغيلية'!$G$4:$G$53,$D4,'المصاريف التشغيلية'!$B$4:$B$53,"&gt;="&amp;$B4,'المصاريف التشغيلية'!$B$4:$B$53,"&lt;="&amp;$C4))</calculatedColumnFormula>
    </tableColumn>
    <tableColumn id="7" xr3:uid="{2DF9F2F1-D19C-4A2F-B6A4-93C7A793F45D}" name="الربح الصافي_x000a_(د.م.)" dataDxfId="2">
      <calculatedColumnFormula>IF($D4="","",E4-F4)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rightToLeft="1" zoomScaleNormal="100" workbookViewId="0">
      <pane ySplit="3" topLeftCell="A4" activePane="bottomLeft" state="frozen"/>
      <selection pane="bottomLeft" activeCell="A7" sqref="A7"/>
    </sheetView>
  </sheetViews>
  <sheetFormatPr defaultColWidth="8.6328125" defaultRowHeight="14.5" x14ac:dyDescent="0.35"/>
  <cols>
    <col min="1" max="1" width="18" customWidth="1"/>
    <col min="2" max="2" width="28" customWidth="1"/>
    <col min="3" max="3" width="15" customWidth="1"/>
    <col min="4" max="4" width="18" customWidth="1"/>
  </cols>
  <sheetData>
    <row r="1" spans="1:4" ht="30" customHeight="1" x14ac:dyDescent="0.35">
      <c r="A1" s="5" t="s">
        <v>0</v>
      </c>
      <c r="B1" s="5"/>
      <c r="C1" s="5"/>
      <c r="D1" s="5"/>
    </row>
    <row r="2" spans="1:4" ht="15.75" customHeight="1" x14ac:dyDescent="0.35">
      <c r="A2" s="4" t="s">
        <v>1</v>
      </c>
      <c r="B2" s="4"/>
      <c r="C2" s="4"/>
      <c r="D2" s="4"/>
    </row>
    <row r="3" spans="1:4" ht="33.75" customHeight="1" x14ac:dyDescent="0.35">
      <c r="A3" s="25" t="s">
        <v>2</v>
      </c>
      <c r="B3" s="26" t="s">
        <v>3</v>
      </c>
      <c r="C3" s="26" t="s">
        <v>4</v>
      </c>
      <c r="D3" s="40" t="s">
        <v>74</v>
      </c>
    </row>
    <row r="4" spans="1:4" x14ac:dyDescent="0.35">
      <c r="A4" s="21">
        <v>1</v>
      </c>
      <c r="B4" s="7" t="s">
        <v>5</v>
      </c>
      <c r="C4" s="7" t="s">
        <v>6</v>
      </c>
      <c r="D4" s="23" t="s">
        <v>7</v>
      </c>
    </row>
    <row r="5" spans="1:4" x14ac:dyDescent="0.35">
      <c r="A5" s="21">
        <v>2</v>
      </c>
      <c r="B5" s="7" t="s">
        <v>8</v>
      </c>
      <c r="C5" s="7" t="s">
        <v>9</v>
      </c>
      <c r="D5" s="23" t="s">
        <v>10</v>
      </c>
    </row>
    <row r="6" spans="1:4" x14ac:dyDescent="0.35">
      <c r="A6" s="21">
        <v>3</v>
      </c>
      <c r="B6" s="7" t="s">
        <v>11</v>
      </c>
      <c r="C6" s="7" t="s">
        <v>12</v>
      </c>
      <c r="D6" s="23" t="s">
        <v>13</v>
      </c>
    </row>
    <row r="7" spans="1:4" x14ac:dyDescent="0.35">
      <c r="A7" s="22"/>
      <c r="B7" s="8"/>
      <c r="C7" s="8"/>
      <c r="D7" s="24"/>
    </row>
    <row r="8" spans="1:4" x14ac:dyDescent="0.35">
      <c r="A8" s="28"/>
      <c r="B8" s="29"/>
      <c r="C8" s="29"/>
      <c r="D8" s="30"/>
    </row>
    <row r="9" spans="1:4" x14ac:dyDescent="0.35">
      <c r="A9" s="8"/>
      <c r="B9" s="8"/>
      <c r="C9" s="8"/>
      <c r="D9" s="8"/>
    </row>
    <row r="10" spans="1:4" x14ac:dyDescent="0.35">
      <c r="A10" s="8"/>
      <c r="B10" s="8"/>
      <c r="C10" s="8"/>
      <c r="D10" s="8"/>
    </row>
    <row r="11" spans="1:4" x14ac:dyDescent="0.35">
      <c r="A11" s="8"/>
      <c r="B11" s="8"/>
      <c r="C11" s="8"/>
      <c r="D11" s="8"/>
    </row>
    <row r="12" spans="1:4" x14ac:dyDescent="0.35">
      <c r="A12" s="8"/>
      <c r="B12" s="8"/>
      <c r="C12" s="8"/>
      <c r="D12" s="8"/>
    </row>
    <row r="13" spans="1:4" x14ac:dyDescent="0.35">
      <c r="A13" s="8"/>
      <c r="B13" s="8"/>
      <c r="C13" s="8"/>
      <c r="D13" s="8"/>
    </row>
    <row r="14" spans="1:4" x14ac:dyDescent="0.35">
      <c r="A14" s="8"/>
      <c r="B14" s="8"/>
      <c r="C14" s="8"/>
      <c r="D14" s="8"/>
    </row>
    <row r="15" spans="1:4" x14ac:dyDescent="0.35">
      <c r="A15" s="8"/>
      <c r="B15" s="8"/>
      <c r="C15" s="8"/>
      <c r="D15" s="8"/>
    </row>
    <row r="16" spans="1:4" x14ac:dyDescent="0.35">
      <c r="A16" s="8"/>
      <c r="B16" s="8"/>
      <c r="C16" s="8"/>
      <c r="D16" s="8"/>
    </row>
    <row r="17" spans="1:4" x14ac:dyDescent="0.35">
      <c r="A17" s="8"/>
      <c r="B17" s="8"/>
      <c r="C17" s="8"/>
      <c r="D17" s="8"/>
    </row>
    <row r="18" spans="1:4" x14ac:dyDescent="0.35">
      <c r="A18" s="8"/>
      <c r="B18" s="8"/>
      <c r="C18" s="8"/>
      <c r="D18" s="8"/>
    </row>
    <row r="19" spans="1:4" x14ac:dyDescent="0.35">
      <c r="A19" s="8"/>
      <c r="B19" s="8"/>
      <c r="C19" s="8"/>
      <c r="D19" s="8"/>
    </row>
    <row r="20" spans="1:4" x14ac:dyDescent="0.35">
      <c r="A20" s="8"/>
      <c r="B20" s="8"/>
      <c r="C20" s="8"/>
      <c r="D20" s="8"/>
    </row>
    <row r="21" spans="1:4" x14ac:dyDescent="0.35">
      <c r="A21" s="8"/>
      <c r="B21" s="8"/>
      <c r="C21" s="8"/>
      <c r="D21" s="8"/>
    </row>
    <row r="22" spans="1:4" x14ac:dyDescent="0.35">
      <c r="A22" s="8"/>
      <c r="B22" s="8"/>
      <c r="C22" s="8"/>
      <c r="D22" s="8"/>
    </row>
    <row r="23" spans="1:4" x14ac:dyDescent="0.35">
      <c r="A23" s="8"/>
      <c r="B23" s="8"/>
      <c r="C23" s="8"/>
      <c r="D23" s="8"/>
    </row>
    <row r="24" spans="1:4" x14ac:dyDescent="0.35">
      <c r="A24" s="8"/>
      <c r="B24" s="8"/>
      <c r="C24" s="8"/>
      <c r="D24" s="8"/>
    </row>
    <row r="25" spans="1:4" x14ac:dyDescent="0.35">
      <c r="A25" s="8"/>
      <c r="B25" s="8"/>
      <c r="C25" s="8"/>
      <c r="D25" s="8"/>
    </row>
    <row r="26" spans="1:4" x14ac:dyDescent="0.35">
      <c r="A26" s="8"/>
      <c r="B26" s="8"/>
      <c r="C26" s="8"/>
      <c r="D26" s="8"/>
    </row>
    <row r="27" spans="1:4" x14ac:dyDescent="0.35">
      <c r="A27" s="8"/>
      <c r="B27" s="8"/>
      <c r="C27" s="8"/>
      <c r="D27" s="8"/>
    </row>
    <row r="28" spans="1:4" x14ac:dyDescent="0.35">
      <c r="A28" s="8"/>
      <c r="B28" s="8"/>
      <c r="C28" s="8"/>
      <c r="D28" s="8"/>
    </row>
    <row r="29" spans="1:4" x14ac:dyDescent="0.35">
      <c r="A29" s="8"/>
      <c r="B29" s="8"/>
      <c r="C29" s="8"/>
      <c r="D29" s="8"/>
    </row>
    <row r="30" spans="1:4" x14ac:dyDescent="0.35">
      <c r="A30" s="8"/>
      <c r="B30" s="8"/>
      <c r="C30" s="8"/>
      <c r="D30" s="8"/>
    </row>
    <row r="31" spans="1:4" x14ac:dyDescent="0.35">
      <c r="A31" s="8"/>
      <c r="B31" s="8"/>
      <c r="C31" s="8"/>
      <c r="D31" s="8"/>
    </row>
    <row r="32" spans="1:4" x14ac:dyDescent="0.35">
      <c r="A32" s="8"/>
      <c r="B32" s="8"/>
      <c r="C32" s="8"/>
      <c r="D32" s="8"/>
    </row>
    <row r="33" spans="1:4" x14ac:dyDescent="0.35">
      <c r="A33" s="8"/>
      <c r="B33" s="8"/>
      <c r="C33" s="8"/>
      <c r="D33" s="8"/>
    </row>
    <row r="34" spans="1:4" x14ac:dyDescent="0.35">
      <c r="A34" s="8"/>
      <c r="B34" s="8"/>
      <c r="C34" s="8"/>
      <c r="D34" s="8"/>
    </row>
    <row r="35" spans="1:4" x14ac:dyDescent="0.35">
      <c r="A35" s="8"/>
      <c r="B35" s="8"/>
      <c r="C35" s="8"/>
      <c r="D35" s="8"/>
    </row>
    <row r="36" spans="1:4" x14ac:dyDescent="0.35">
      <c r="A36" s="8"/>
      <c r="B36" s="8"/>
      <c r="C36" s="8"/>
      <c r="D36" s="8"/>
    </row>
    <row r="37" spans="1:4" x14ac:dyDescent="0.35">
      <c r="A37" s="8"/>
      <c r="B37" s="8"/>
      <c r="C37" s="8"/>
      <c r="D37" s="8"/>
    </row>
    <row r="38" spans="1:4" x14ac:dyDescent="0.35">
      <c r="A38" s="8"/>
      <c r="B38" s="8"/>
      <c r="C38" s="8"/>
      <c r="D38" s="8"/>
    </row>
    <row r="39" spans="1:4" x14ac:dyDescent="0.35">
      <c r="A39" s="8"/>
      <c r="B39" s="8"/>
      <c r="C39" s="8"/>
      <c r="D39" s="8"/>
    </row>
    <row r="40" spans="1:4" x14ac:dyDescent="0.35">
      <c r="A40" s="8"/>
      <c r="B40" s="8"/>
      <c r="C40" s="8"/>
      <c r="D40" s="8"/>
    </row>
    <row r="41" spans="1:4" x14ac:dyDescent="0.35">
      <c r="A41" s="8"/>
      <c r="B41" s="8"/>
      <c r="C41" s="8"/>
      <c r="D41" s="8"/>
    </row>
    <row r="42" spans="1:4" x14ac:dyDescent="0.35">
      <c r="A42" s="8"/>
      <c r="B42" s="8"/>
      <c r="C42" s="8"/>
      <c r="D42" s="8"/>
    </row>
    <row r="43" spans="1:4" x14ac:dyDescent="0.35">
      <c r="A43" s="8"/>
      <c r="B43" s="8"/>
      <c r="C43" s="8"/>
      <c r="D43" s="8"/>
    </row>
    <row r="44" spans="1:4" x14ac:dyDescent="0.35">
      <c r="A44" s="8"/>
      <c r="B44" s="8"/>
      <c r="C44" s="8"/>
      <c r="D44" s="8"/>
    </row>
    <row r="45" spans="1:4" x14ac:dyDescent="0.35">
      <c r="A45" s="8"/>
      <c r="B45" s="8"/>
      <c r="C45" s="8"/>
      <c r="D45" s="8"/>
    </row>
    <row r="46" spans="1:4" x14ac:dyDescent="0.35">
      <c r="A46" s="8"/>
      <c r="B46" s="8"/>
      <c r="C46" s="8"/>
      <c r="D46" s="8"/>
    </row>
    <row r="47" spans="1:4" x14ac:dyDescent="0.35">
      <c r="A47" s="8"/>
      <c r="B47" s="8"/>
      <c r="C47" s="8"/>
      <c r="D47" s="8"/>
    </row>
    <row r="48" spans="1:4" x14ac:dyDescent="0.35">
      <c r="A48" s="8"/>
      <c r="B48" s="8"/>
      <c r="C48" s="8"/>
      <c r="D48" s="8"/>
    </row>
    <row r="49" spans="1:4" x14ac:dyDescent="0.35">
      <c r="A49" s="8"/>
      <c r="B49" s="8"/>
      <c r="C49" s="8"/>
      <c r="D49" s="8"/>
    </row>
    <row r="50" spans="1:4" x14ac:dyDescent="0.35">
      <c r="A50" s="8"/>
      <c r="B50" s="8"/>
      <c r="C50" s="8"/>
      <c r="D50" s="8"/>
    </row>
    <row r="51" spans="1:4" x14ac:dyDescent="0.35">
      <c r="A51" s="8"/>
      <c r="B51" s="8"/>
      <c r="C51" s="8"/>
      <c r="D51" s="8"/>
    </row>
    <row r="52" spans="1:4" x14ac:dyDescent="0.35">
      <c r="A52" s="8"/>
      <c r="B52" s="8"/>
      <c r="C52" s="8"/>
      <c r="D52" s="8"/>
    </row>
    <row r="53" spans="1:4" x14ac:dyDescent="0.35">
      <c r="A53" s="8"/>
      <c r="B53" s="8"/>
      <c r="C53" s="8"/>
      <c r="D53" s="8"/>
    </row>
    <row r="55" spans="1:4" x14ac:dyDescent="0.35">
      <c r="A55" s="9" t="s">
        <v>14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rightToLeft="1" tabSelected="1" zoomScaleNormal="100" workbookViewId="0">
      <pane ySplit="3" topLeftCell="A4" activePane="bottomLeft" state="frozen"/>
      <selection pane="bottomLeft" activeCell="B16" sqref="B16"/>
    </sheetView>
  </sheetViews>
  <sheetFormatPr defaultColWidth="8.6328125" defaultRowHeight="14.5" x14ac:dyDescent="0.35"/>
  <cols>
    <col min="1" max="1" width="13" customWidth="1"/>
    <col min="2" max="2" width="12" customWidth="1"/>
    <col min="3" max="3" width="18" customWidth="1"/>
    <col min="4" max="4" width="15" customWidth="1"/>
    <col min="5" max="5" width="24" customWidth="1"/>
    <col min="6" max="6" width="11" customWidth="1"/>
    <col min="7" max="7" width="15" customWidth="1"/>
    <col min="8" max="8" width="14" customWidth="1"/>
  </cols>
  <sheetData>
    <row r="1" spans="1:8" ht="30" customHeight="1" x14ac:dyDescent="0.35">
      <c r="A1" s="5" t="s">
        <v>15</v>
      </c>
      <c r="B1" s="5"/>
      <c r="C1" s="5"/>
      <c r="D1" s="5"/>
      <c r="E1" s="5"/>
      <c r="F1" s="5"/>
      <c r="G1" s="5"/>
      <c r="H1" s="5"/>
    </row>
    <row r="2" spans="1:8" ht="15.75" customHeight="1" x14ac:dyDescent="0.35">
      <c r="A2" s="4" t="s">
        <v>16</v>
      </c>
      <c r="B2" s="4"/>
      <c r="C2" s="4"/>
      <c r="D2" s="4"/>
      <c r="E2" s="4"/>
      <c r="F2" s="4"/>
      <c r="G2" s="4"/>
      <c r="H2" s="4"/>
    </row>
    <row r="3" spans="1:8" ht="33.75" customHeight="1" x14ac:dyDescent="0.35">
      <c r="A3" s="25" t="s">
        <v>17</v>
      </c>
      <c r="B3" s="26" t="s">
        <v>18</v>
      </c>
      <c r="C3" s="26" t="s">
        <v>19</v>
      </c>
      <c r="D3" s="26" t="s">
        <v>20</v>
      </c>
      <c r="E3" s="26" t="s">
        <v>21</v>
      </c>
      <c r="F3" s="26" t="s">
        <v>22</v>
      </c>
      <c r="G3" s="26" t="s">
        <v>23</v>
      </c>
      <c r="H3" s="27" t="s">
        <v>24</v>
      </c>
    </row>
    <row r="4" spans="1:8" x14ac:dyDescent="0.35">
      <c r="A4" s="21">
        <v>1</v>
      </c>
      <c r="B4" s="10">
        <v>46235</v>
      </c>
      <c r="C4" s="7" t="s">
        <v>26</v>
      </c>
      <c r="D4" s="7" t="s">
        <v>27</v>
      </c>
      <c r="E4" s="7" t="s">
        <v>5</v>
      </c>
      <c r="F4" s="11">
        <v>5</v>
      </c>
      <c r="G4" s="12">
        <v>1200</v>
      </c>
      <c r="H4" s="23" t="s">
        <v>28</v>
      </c>
    </row>
    <row r="5" spans="1:8" x14ac:dyDescent="0.35">
      <c r="A5" s="21">
        <v>2</v>
      </c>
      <c r="B5" s="10">
        <v>46235</v>
      </c>
      <c r="C5" s="7" t="s">
        <v>30</v>
      </c>
      <c r="D5" s="7" t="s">
        <v>31</v>
      </c>
      <c r="E5" s="7" t="s">
        <v>8</v>
      </c>
      <c r="F5" s="11">
        <v>12</v>
      </c>
      <c r="G5" s="12">
        <v>2800</v>
      </c>
      <c r="H5" s="23" t="s">
        <v>28</v>
      </c>
    </row>
    <row r="6" spans="1:8" x14ac:dyDescent="0.35">
      <c r="A6" s="21">
        <v>3</v>
      </c>
      <c r="B6" s="10">
        <v>46236</v>
      </c>
      <c r="C6" s="7" t="s">
        <v>26</v>
      </c>
      <c r="D6" s="7" t="s">
        <v>27</v>
      </c>
      <c r="E6" s="7" t="s">
        <v>11</v>
      </c>
      <c r="F6" s="11">
        <v>3</v>
      </c>
      <c r="G6" s="12">
        <v>750</v>
      </c>
      <c r="H6" s="23" t="s">
        <v>33</v>
      </c>
    </row>
    <row r="7" spans="1:8" x14ac:dyDescent="0.35">
      <c r="A7" s="22"/>
      <c r="B7" s="13"/>
      <c r="C7" s="8"/>
      <c r="D7" s="8"/>
      <c r="E7" s="8"/>
      <c r="F7" s="14"/>
      <c r="G7" s="15"/>
      <c r="H7" s="24"/>
    </row>
    <row r="8" spans="1:8" x14ac:dyDescent="0.35">
      <c r="A8" s="22"/>
      <c r="B8" s="13"/>
      <c r="C8" s="8"/>
      <c r="D8" s="8"/>
      <c r="E8" s="8"/>
      <c r="F8" s="14"/>
      <c r="G8" s="15"/>
      <c r="H8" s="24"/>
    </row>
    <row r="9" spans="1:8" x14ac:dyDescent="0.35">
      <c r="A9" s="28"/>
      <c r="B9" s="31"/>
      <c r="C9" s="29"/>
      <c r="D9" s="29"/>
      <c r="E9" s="29"/>
      <c r="F9" s="32"/>
      <c r="G9" s="33"/>
      <c r="H9" s="30"/>
    </row>
    <row r="10" spans="1:8" x14ac:dyDescent="0.35">
      <c r="A10" s="8"/>
      <c r="B10" s="13"/>
      <c r="C10" s="8"/>
      <c r="D10" s="8"/>
      <c r="E10" s="8"/>
      <c r="F10" s="14"/>
      <c r="G10" s="15"/>
      <c r="H10" s="8"/>
    </row>
    <row r="11" spans="1:8" x14ac:dyDescent="0.35">
      <c r="A11" s="8"/>
      <c r="B11" s="13"/>
      <c r="C11" s="8"/>
      <c r="D11" s="8"/>
      <c r="E11" s="8"/>
      <c r="F11" s="14"/>
      <c r="G11" s="15"/>
      <c r="H11" s="8"/>
    </row>
    <row r="12" spans="1:8" x14ac:dyDescent="0.35">
      <c r="A12" s="8"/>
      <c r="B12" s="13"/>
      <c r="C12" s="8"/>
      <c r="D12" s="8"/>
      <c r="E12" s="8"/>
      <c r="F12" s="14"/>
      <c r="G12" s="15"/>
      <c r="H12" s="8"/>
    </row>
    <row r="13" spans="1:8" x14ac:dyDescent="0.35">
      <c r="A13" s="8"/>
      <c r="B13" s="13"/>
      <c r="C13" s="8"/>
      <c r="D13" s="8"/>
      <c r="E13" s="8"/>
      <c r="F13" s="14"/>
      <c r="G13" s="15"/>
      <c r="H13" s="8"/>
    </row>
    <row r="14" spans="1:8" x14ac:dyDescent="0.35">
      <c r="A14" s="8"/>
      <c r="B14" s="13"/>
      <c r="C14" s="8"/>
      <c r="D14" s="8"/>
      <c r="E14" s="8"/>
      <c r="F14" s="14"/>
      <c r="G14" s="15"/>
      <c r="H14" s="8"/>
    </row>
    <row r="15" spans="1:8" x14ac:dyDescent="0.35">
      <c r="A15" s="8"/>
      <c r="B15" s="13"/>
      <c r="C15" s="8"/>
      <c r="D15" s="8"/>
      <c r="E15" s="8"/>
      <c r="F15" s="14"/>
      <c r="G15" s="15"/>
      <c r="H15" s="8"/>
    </row>
    <row r="16" spans="1:8" x14ac:dyDescent="0.35">
      <c r="A16" s="8"/>
      <c r="B16" s="13"/>
      <c r="C16" s="8"/>
      <c r="D16" s="8"/>
      <c r="E16" s="8"/>
      <c r="F16" s="14"/>
      <c r="G16" s="15"/>
      <c r="H16" s="8"/>
    </row>
    <row r="17" spans="1:8" x14ac:dyDescent="0.35">
      <c r="A17" s="8"/>
      <c r="B17" s="13"/>
      <c r="C17" s="8"/>
      <c r="D17" s="8"/>
      <c r="E17" s="8"/>
      <c r="F17" s="14"/>
      <c r="G17" s="15"/>
      <c r="H17" s="8"/>
    </row>
    <row r="18" spans="1:8" x14ac:dyDescent="0.35">
      <c r="A18" s="8"/>
      <c r="B18" s="13"/>
      <c r="C18" s="8"/>
      <c r="D18" s="8"/>
      <c r="E18" s="8"/>
      <c r="F18" s="14"/>
      <c r="G18" s="15"/>
      <c r="H18" s="8"/>
    </row>
    <row r="19" spans="1:8" x14ac:dyDescent="0.35">
      <c r="A19" s="8"/>
      <c r="B19" s="13"/>
      <c r="C19" s="8"/>
      <c r="D19" s="8"/>
      <c r="E19" s="8"/>
      <c r="F19" s="14"/>
      <c r="G19" s="15"/>
      <c r="H19" s="8"/>
    </row>
    <row r="20" spans="1:8" x14ac:dyDescent="0.35">
      <c r="A20" s="8"/>
      <c r="B20" s="13"/>
      <c r="C20" s="8"/>
      <c r="D20" s="8"/>
      <c r="E20" s="8"/>
      <c r="F20" s="14"/>
      <c r="G20" s="15"/>
      <c r="H20" s="8"/>
    </row>
    <row r="21" spans="1:8" x14ac:dyDescent="0.35">
      <c r="A21" s="8"/>
      <c r="B21" s="13"/>
      <c r="C21" s="8"/>
      <c r="D21" s="8"/>
      <c r="E21" s="8"/>
      <c r="F21" s="14"/>
      <c r="G21" s="15"/>
      <c r="H21" s="8"/>
    </row>
    <row r="22" spans="1:8" x14ac:dyDescent="0.35">
      <c r="A22" s="8"/>
      <c r="B22" s="13"/>
      <c r="C22" s="8"/>
      <c r="D22" s="8"/>
      <c r="E22" s="8"/>
      <c r="F22" s="14"/>
      <c r="G22" s="15"/>
      <c r="H22" s="8"/>
    </row>
    <row r="23" spans="1:8" x14ac:dyDescent="0.35">
      <c r="A23" s="8"/>
      <c r="B23" s="13"/>
      <c r="C23" s="8"/>
      <c r="D23" s="8"/>
      <c r="E23" s="8"/>
      <c r="F23" s="14"/>
      <c r="G23" s="15"/>
      <c r="H23" s="8"/>
    </row>
    <row r="24" spans="1:8" x14ac:dyDescent="0.35">
      <c r="A24" s="8"/>
      <c r="B24" s="13"/>
      <c r="C24" s="8"/>
      <c r="D24" s="8"/>
      <c r="E24" s="8"/>
      <c r="F24" s="14"/>
      <c r="G24" s="15"/>
      <c r="H24" s="8"/>
    </row>
    <row r="25" spans="1:8" x14ac:dyDescent="0.35">
      <c r="A25" s="8"/>
      <c r="B25" s="13"/>
      <c r="C25" s="8"/>
      <c r="D25" s="8"/>
      <c r="E25" s="8"/>
      <c r="F25" s="14"/>
      <c r="G25" s="15"/>
      <c r="H25" s="8"/>
    </row>
    <row r="26" spans="1:8" x14ac:dyDescent="0.35">
      <c r="A26" s="8"/>
      <c r="B26" s="13"/>
      <c r="C26" s="8"/>
      <c r="D26" s="8"/>
      <c r="E26" s="8"/>
      <c r="F26" s="14"/>
      <c r="G26" s="15"/>
      <c r="H26" s="8"/>
    </row>
    <row r="27" spans="1:8" x14ac:dyDescent="0.35">
      <c r="A27" s="8"/>
      <c r="B27" s="13"/>
      <c r="C27" s="8"/>
      <c r="D27" s="8"/>
      <c r="E27" s="8"/>
      <c r="F27" s="14"/>
      <c r="G27" s="15"/>
      <c r="H27" s="8"/>
    </row>
    <row r="28" spans="1:8" x14ac:dyDescent="0.35">
      <c r="A28" s="8"/>
      <c r="B28" s="13"/>
      <c r="C28" s="8"/>
      <c r="D28" s="8"/>
      <c r="E28" s="8"/>
      <c r="F28" s="14"/>
      <c r="G28" s="15"/>
      <c r="H28" s="8"/>
    </row>
    <row r="29" spans="1:8" x14ac:dyDescent="0.35">
      <c r="A29" s="8"/>
      <c r="B29" s="13"/>
      <c r="C29" s="8"/>
      <c r="D29" s="8"/>
      <c r="E29" s="8"/>
      <c r="F29" s="14"/>
      <c r="G29" s="15"/>
      <c r="H29" s="8"/>
    </row>
    <row r="30" spans="1:8" x14ac:dyDescent="0.35">
      <c r="A30" s="8"/>
      <c r="B30" s="13"/>
      <c r="C30" s="8"/>
      <c r="D30" s="8"/>
      <c r="E30" s="8"/>
      <c r="F30" s="14"/>
      <c r="G30" s="15"/>
      <c r="H30" s="8"/>
    </row>
    <row r="31" spans="1:8" x14ac:dyDescent="0.35">
      <c r="A31" s="8"/>
      <c r="B31" s="13"/>
      <c r="C31" s="8"/>
      <c r="D31" s="8"/>
      <c r="E31" s="8"/>
      <c r="F31" s="14"/>
      <c r="G31" s="15"/>
      <c r="H31" s="8"/>
    </row>
    <row r="32" spans="1:8" x14ac:dyDescent="0.35">
      <c r="A32" s="8"/>
      <c r="B32" s="13"/>
      <c r="C32" s="8"/>
      <c r="D32" s="8"/>
      <c r="E32" s="8"/>
      <c r="F32" s="14"/>
      <c r="G32" s="15"/>
      <c r="H32" s="8"/>
    </row>
    <row r="33" spans="1:8" x14ac:dyDescent="0.35">
      <c r="A33" s="8"/>
      <c r="B33" s="13"/>
      <c r="C33" s="8"/>
      <c r="D33" s="8"/>
      <c r="E33" s="8"/>
      <c r="F33" s="14"/>
      <c r="G33" s="15"/>
      <c r="H33" s="8"/>
    </row>
    <row r="34" spans="1:8" x14ac:dyDescent="0.35">
      <c r="A34" s="8"/>
      <c r="B34" s="13"/>
      <c r="C34" s="8"/>
      <c r="D34" s="8"/>
      <c r="E34" s="8"/>
      <c r="F34" s="14"/>
      <c r="G34" s="15"/>
      <c r="H34" s="8"/>
    </row>
    <row r="35" spans="1:8" x14ac:dyDescent="0.35">
      <c r="A35" s="8"/>
      <c r="B35" s="13"/>
      <c r="C35" s="8"/>
      <c r="D35" s="8"/>
      <c r="E35" s="8"/>
      <c r="F35" s="14"/>
      <c r="G35" s="15"/>
      <c r="H35" s="8"/>
    </row>
    <row r="36" spans="1:8" x14ac:dyDescent="0.35">
      <c r="A36" s="8"/>
      <c r="B36" s="13"/>
      <c r="C36" s="8"/>
      <c r="D36" s="8"/>
      <c r="E36" s="8"/>
      <c r="F36" s="14"/>
      <c r="G36" s="15"/>
      <c r="H36" s="8"/>
    </row>
    <row r="37" spans="1:8" x14ac:dyDescent="0.35">
      <c r="A37" s="8"/>
      <c r="B37" s="13"/>
      <c r="C37" s="8"/>
      <c r="D37" s="8"/>
      <c r="E37" s="8"/>
      <c r="F37" s="14"/>
      <c r="G37" s="15"/>
      <c r="H37" s="8"/>
    </row>
    <row r="38" spans="1:8" x14ac:dyDescent="0.35">
      <c r="A38" s="8"/>
      <c r="B38" s="13"/>
      <c r="C38" s="8"/>
      <c r="D38" s="8"/>
      <c r="E38" s="8"/>
      <c r="F38" s="14"/>
      <c r="G38" s="15"/>
      <c r="H38" s="8"/>
    </row>
    <row r="39" spans="1:8" x14ac:dyDescent="0.35">
      <c r="A39" s="8"/>
      <c r="B39" s="13"/>
      <c r="C39" s="8"/>
      <c r="D39" s="8"/>
      <c r="E39" s="8"/>
      <c r="F39" s="14"/>
      <c r="G39" s="15"/>
      <c r="H39" s="8"/>
    </row>
    <row r="40" spans="1:8" x14ac:dyDescent="0.35">
      <c r="A40" s="8"/>
      <c r="B40" s="13"/>
      <c r="C40" s="8"/>
      <c r="D40" s="8"/>
      <c r="E40" s="8"/>
      <c r="F40" s="14"/>
      <c r="G40" s="15"/>
      <c r="H40" s="8"/>
    </row>
    <row r="41" spans="1:8" x14ac:dyDescent="0.35">
      <c r="A41" s="8"/>
      <c r="B41" s="13"/>
      <c r="C41" s="8"/>
      <c r="D41" s="8"/>
      <c r="E41" s="8"/>
      <c r="F41" s="14"/>
      <c r="G41" s="15"/>
      <c r="H41" s="8"/>
    </row>
    <row r="42" spans="1:8" x14ac:dyDescent="0.35">
      <c r="A42" s="8"/>
      <c r="B42" s="13"/>
      <c r="C42" s="8"/>
      <c r="D42" s="8"/>
      <c r="E42" s="8"/>
      <c r="F42" s="14"/>
      <c r="G42" s="15"/>
      <c r="H42" s="8"/>
    </row>
    <row r="43" spans="1:8" x14ac:dyDescent="0.35">
      <c r="A43" s="8"/>
      <c r="B43" s="13"/>
      <c r="C43" s="8"/>
      <c r="D43" s="8"/>
      <c r="E43" s="8"/>
      <c r="F43" s="14"/>
      <c r="G43" s="15"/>
      <c r="H43" s="8"/>
    </row>
    <row r="44" spans="1:8" x14ac:dyDescent="0.35">
      <c r="A44" s="8"/>
      <c r="B44" s="13"/>
      <c r="C44" s="8"/>
      <c r="D44" s="8"/>
      <c r="E44" s="8"/>
      <c r="F44" s="14"/>
      <c r="G44" s="15"/>
      <c r="H44" s="8"/>
    </row>
    <row r="45" spans="1:8" x14ac:dyDescent="0.35">
      <c r="A45" s="8"/>
      <c r="B45" s="13"/>
      <c r="C45" s="8"/>
      <c r="D45" s="8"/>
      <c r="E45" s="8"/>
      <c r="F45" s="14"/>
      <c r="G45" s="15"/>
      <c r="H45" s="8"/>
    </row>
    <row r="46" spans="1:8" x14ac:dyDescent="0.35">
      <c r="A46" s="8"/>
      <c r="B46" s="13"/>
      <c r="C46" s="8"/>
      <c r="D46" s="8"/>
      <c r="E46" s="8"/>
      <c r="F46" s="14"/>
      <c r="G46" s="15"/>
      <c r="H46" s="8"/>
    </row>
    <row r="47" spans="1:8" x14ac:dyDescent="0.35">
      <c r="A47" s="8"/>
      <c r="B47" s="13"/>
      <c r="C47" s="8"/>
      <c r="D47" s="8"/>
      <c r="E47" s="8"/>
      <c r="F47" s="14"/>
      <c r="G47" s="15"/>
      <c r="H47" s="8"/>
    </row>
    <row r="48" spans="1:8" x14ac:dyDescent="0.35">
      <c r="A48" s="8"/>
      <c r="B48" s="13"/>
      <c r="C48" s="8"/>
      <c r="D48" s="8"/>
      <c r="E48" s="8"/>
      <c r="F48" s="14"/>
      <c r="G48" s="15"/>
      <c r="H48" s="8"/>
    </row>
    <row r="49" spans="1:8" x14ac:dyDescent="0.35">
      <c r="A49" s="8"/>
      <c r="B49" s="13"/>
      <c r="C49" s="8"/>
      <c r="D49" s="8"/>
      <c r="E49" s="8"/>
      <c r="F49" s="14"/>
      <c r="G49" s="15"/>
      <c r="H49" s="8"/>
    </row>
    <row r="50" spans="1:8" x14ac:dyDescent="0.35">
      <c r="A50" s="8"/>
      <c r="B50" s="13"/>
      <c r="C50" s="8"/>
      <c r="D50" s="8"/>
      <c r="E50" s="8"/>
      <c r="F50" s="14"/>
      <c r="G50" s="15"/>
      <c r="H50" s="8"/>
    </row>
    <row r="51" spans="1:8" x14ac:dyDescent="0.35">
      <c r="A51" s="8"/>
      <c r="B51" s="13"/>
      <c r="C51" s="8"/>
      <c r="D51" s="8"/>
      <c r="E51" s="8"/>
      <c r="F51" s="14"/>
      <c r="G51" s="15"/>
      <c r="H51" s="8"/>
    </row>
    <row r="52" spans="1:8" x14ac:dyDescent="0.35">
      <c r="A52" s="8"/>
      <c r="B52" s="13"/>
      <c r="C52" s="8"/>
      <c r="D52" s="8"/>
      <c r="E52" s="8"/>
      <c r="F52" s="14"/>
      <c r="G52" s="15"/>
      <c r="H52" s="8"/>
    </row>
    <row r="53" spans="1:8" x14ac:dyDescent="0.35">
      <c r="A53" s="8"/>
      <c r="B53" s="13"/>
      <c r="C53" s="8"/>
      <c r="D53" s="8"/>
      <c r="E53" s="8"/>
      <c r="F53" s="14"/>
      <c r="G53" s="15"/>
      <c r="H53" s="8"/>
    </row>
    <row r="55" spans="1:8" x14ac:dyDescent="0.35">
      <c r="A55" s="9" t="s">
        <v>34</v>
      </c>
    </row>
  </sheetData>
  <mergeCells count="2">
    <mergeCell ref="A1:H1"/>
    <mergeCell ref="A2:H2"/>
  </mergeCells>
  <dataValidations count="1">
    <dataValidation type="list" allowBlank="1" sqref="H4:H53" xr:uid="{00000000-0002-0000-0100-000001000000}">
      <formula1>"تم التسليم,قيد التوصيل,ملغاة,في الانتظار"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'جدول العملاء'!$B$4:$B$53</xm:f>
          </x14:formula1>
          <x14:formula2>
            <xm:f>0</xm:f>
          </x14:formula2>
          <xm:sqref>E4:E53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rightToLeft="1" zoomScaleNormal="100" workbookViewId="0">
      <pane ySplit="3" topLeftCell="A4" activePane="bottomLeft" state="frozen"/>
      <selection pane="bottomLeft" activeCell="B14" sqref="B14"/>
    </sheetView>
  </sheetViews>
  <sheetFormatPr defaultColWidth="8.6328125" defaultRowHeight="14.5" x14ac:dyDescent="0.35"/>
  <cols>
    <col min="1" max="3" width="13" customWidth="1"/>
    <col min="4" max="4" width="22" customWidth="1"/>
    <col min="5" max="5" width="12" customWidth="1"/>
    <col min="6" max="6" width="26" customWidth="1"/>
    <col min="7" max="7" width="18" customWidth="1"/>
  </cols>
  <sheetData>
    <row r="1" spans="1:7" ht="30" customHeight="1" x14ac:dyDescent="0.35">
      <c r="A1" s="5" t="s">
        <v>35</v>
      </c>
      <c r="B1" s="5"/>
      <c r="C1" s="5"/>
      <c r="D1" s="5"/>
      <c r="E1" s="5"/>
      <c r="F1" s="5"/>
      <c r="G1" s="5"/>
    </row>
    <row r="2" spans="1:7" ht="15.75" customHeight="1" x14ac:dyDescent="0.35">
      <c r="A2" s="4" t="s">
        <v>36</v>
      </c>
      <c r="B2" s="4"/>
      <c r="C2" s="4"/>
      <c r="D2" s="4"/>
      <c r="E2" s="4"/>
      <c r="F2" s="4"/>
      <c r="G2" s="4"/>
    </row>
    <row r="3" spans="1:7" ht="33.75" customHeight="1" x14ac:dyDescent="0.35">
      <c r="A3" s="25" t="s">
        <v>37</v>
      </c>
      <c r="B3" s="26" t="s">
        <v>38</v>
      </c>
      <c r="C3" s="26" t="s">
        <v>39</v>
      </c>
      <c r="D3" s="26" t="s">
        <v>40</v>
      </c>
      <c r="E3" s="26" t="s">
        <v>41</v>
      </c>
      <c r="F3" s="26" t="s">
        <v>42</v>
      </c>
      <c r="G3" s="27" t="s">
        <v>43</v>
      </c>
    </row>
    <row r="4" spans="1:7" x14ac:dyDescent="0.35">
      <c r="A4" s="21" t="s">
        <v>44</v>
      </c>
      <c r="B4" s="10">
        <v>46235</v>
      </c>
      <c r="C4" s="7" t="s">
        <v>25</v>
      </c>
      <c r="D4" s="7" t="s">
        <v>45</v>
      </c>
      <c r="E4" s="12">
        <v>250</v>
      </c>
      <c r="F4" s="7" t="s">
        <v>46</v>
      </c>
      <c r="G4" s="34" t="str">
        <f>IF(C4="","",IFERROR(VLOOKUP(C4,'الشحنات والطلبيات'!$A:$H,3,FALSE()),"رقم غير موجود"))</f>
        <v>رقم غير موجود</v>
      </c>
    </row>
    <row r="5" spans="1:7" x14ac:dyDescent="0.35">
      <c r="A5" s="21" t="s">
        <v>47</v>
      </c>
      <c r="B5" s="10">
        <v>46235</v>
      </c>
      <c r="C5" s="7" t="s">
        <v>29</v>
      </c>
      <c r="D5" s="7" t="s">
        <v>48</v>
      </c>
      <c r="E5" s="12">
        <v>80</v>
      </c>
      <c r="F5" s="7" t="s">
        <v>49</v>
      </c>
      <c r="G5" s="34" t="str">
        <f>IF(C5="","",IFERROR(VLOOKUP(C5,'الشحنات والطلبيات'!$A:$H,3,FALSE()),"رقم غير موجود"))</f>
        <v>رقم غير موجود</v>
      </c>
    </row>
    <row r="6" spans="1:7" x14ac:dyDescent="0.35">
      <c r="A6" s="21" t="s">
        <v>50</v>
      </c>
      <c r="B6" s="10">
        <v>46236</v>
      </c>
      <c r="C6" s="7" t="s">
        <v>32</v>
      </c>
      <c r="D6" s="7" t="s">
        <v>51</v>
      </c>
      <c r="E6" s="12">
        <v>150</v>
      </c>
      <c r="F6" s="7" t="s">
        <v>52</v>
      </c>
      <c r="G6" s="34" t="str">
        <f>IF(C6="","",IFERROR(VLOOKUP(C6,'الشحنات والطلبيات'!$A:$H,3,FALSE()),"رقم غير موجود"))</f>
        <v>رقم غير موجود</v>
      </c>
    </row>
    <row r="7" spans="1:7" x14ac:dyDescent="0.35">
      <c r="A7" s="22"/>
      <c r="B7" s="13"/>
      <c r="C7" s="8"/>
      <c r="D7" s="8"/>
      <c r="E7" s="15"/>
      <c r="F7" s="8"/>
      <c r="G7" s="34" t="str">
        <f>IF(C7="","",IFERROR(VLOOKUP(C7,'الشحنات والطلبيات'!$A:$H,3,FALSE()),"رقم غير موجود"))</f>
        <v/>
      </c>
    </row>
    <row r="8" spans="1:7" x14ac:dyDescent="0.35">
      <c r="A8" s="22"/>
      <c r="B8" s="13"/>
      <c r="C8" s="8"/>
      <c r="D8" s="8"/>
      <c r="E8" s="15"/>
      <c r="F8" s="8"/>
      <c r="G8" s="34" t="str">
        <f>IF(C8="","",IFERROR(VLOOKUP(C8,'الشحنات والطلبيات'!$A:$H,3,FALSE()),"رقم غير موجود"))</f>
        <v/>
      </c>
    </row>
    <row r="9" spans="1:7" x14ac:dyDescent="0.35">
      <c r="A9" s="22"/>
      <c r="B9" s="13"/>
      <c r="C9" s="8"/>
      <c r="D9" s="8"/>
      <c r="E9" s="15"/>
      <c r="F9" s="8"/>
      <c r="G9" s="34" t="str">
        <f>IF(C9="","",IFERROR(VLOOKUP(C9,'الشحنات والطلبيات'!$A:$H,3,FALSE()),"رقم غير موجود"))</f>
        <v/>
      </c>
    </row>
    <row r="10" spans="1:7" x14ac:dyDescent="0.35">
      <c r="A10" s="22"/>
      <c r="B10" s="13"/>
      <c r="C10" s="8"/>
      <c r="D10" s="8"/>
      <c r="E10" s="15"/>
      <c r="F10" s="8"/>
      <c r="G10" s="34" t="str">
        <f>IF(C10="","",IFERROR(VLOOKUP(C10,'الشحنات والطلبيات'!$A:$H,3,FALSE()),"رقم غير موجود"))</f>
        <v/>
      </c>
    </row>
    <row r="11" spans="1:7" x14ac:dyDescent="0.35">
      <c r="A11" s="22"/>
      <c r="B11" s="13"/>
      <c r="C11" s="8"/>
      <c r="D11" s="8"/>
      <c r="E11" s="15"/>
      <c r="F11" s="8"/>
      <c r="G11" s="34" t="str">
        <f>IF(C11="","",IFERROR(VLOOKUP(C11,'الشحنات والطلبيات'!$A:$H,3,FALSE()),"رقم غير موجود"))</f>
        <v/>
      </c>
    </row>
    <row r="12" spans="1:7" x14ac:dyDescent="0.35">
      <c r="A12" s="28"/>
      <c r="B12" s="31"/>
      <c r="C12" s="29"/>
      <c r="D12" s="29"/>
      <c r="E12" s="33"/>
      <c r="F12" s="29"/>
      <c r="G12" s="35" t="str">
        <f>IF(C12="","",IFERROR(VLOOKUP(C12,'الشحنات والطلبيات'!$A:$H,3,FALSE()),"رقم غير موجود"))</f>
        <v/>
      </c>
    </row>
    <row r="13" spans="1:7" x14ac:dyDescent="0.35">
      <c r="A13" s="8"/>
      <c r="B13" s="13"/>
      <c r="C13" s="8"/>
      <c r="D13" s="8"/>
      <c r="E13" s="15"/>
      <c r="F13" s="8"/>
      <c r="G13" s="16" t="str">
        <f>IF(C13="","",IFERROR(VLOOKUP(C13,'الشحنات والطلبيات'!$A:$H,3,FALSE()),"رقم غير موجود"))</f>
        <v/>
      </c>
    </row>
    <row r="14" spans="1:7" x14ac:dyDescent="0.35">
      <c r="A14" s="8"/>
      <c r="B14" s="13"/>
      <c r="C14" s="8"/>
      <c r="D14" s="8"/>
      <c r="E14" s="15"/>
      <c r="F14" s="8"/>
      <c r="G14" s="16" t="str">
        <f>IF(C14="","",IFERROR(VLOOKUP(C14,'الشحنات والطلبيات'!$A:$H,3,FALSE()),"رقم غير موجود"))</f>
        <v/>
      </c>
    </row>
    <row r="15" spans="1:7" x14ac:dyDescent="0.35">
      <c r="A15" s="8"/>
      <c r="B15" s="13"/>
      <c r="C15" s="8"/>
      <c r="D15" s="8"/>
      <c r="E15" s="15"/>
      <c r="F15" s="8"/>
      <c r="G15" s="16" t="str">
        <f>IF(C15="","",IFERROR(VLOOKUP(C15,'الشحنات والطلبيات'!$A:$H,3,FALSE()),"رقم غير موجود"))</f>
        <v/>
      </c>
    </row>
    <row r="16" spans="1:7" x14ac:dyDescent="0.35">
      <c r="A16" s="8"/>
      <c r="B16" s="13"/>
      <c r="C16" s="8"/>
      <c r="D16" s="8"/>
      <c r="E16" s="15"/>
      <c r="F16" s="8"/>
      <c r="G16" s="16" t="str">
        <f>IF(C16="","",IFERROR(VLOOKUP(C16,'الشحنات والطلبيات'!$A:$H,3,FALSE()),"رقم غير موجود"))</f>
        <v/>
      </c>
    </row>
    <row r="17" spans="1:7" x14ac:dyDescent="0.35">
      <c r="A17" s="8"/>
      <c r="B17" s="13"/>
      <c r="C17" s="8"/>
      <c r="D17" s="8"/>
      <c r="E17" s="15"/>
      <c r="F17" s="8"/>
      <c r="G17" s="16" t="str">
        <f>IF(C17="","",IFERROR(VLOOKUP(C17,'الشحنات والطلبيات'!$A:$H,3,FALSE()),"رقم غير موجود"))</f>
        <v/>
      </c>
    </row>
    <row r="18" spans="1:7" x14ac:dyDescent="0.35">
      <c r="A18" s="8"/>
      <c r="B18" s="13"/>
      <c r="C18" s="8"/>
      <c r="D18" s="8"/>
      <c r="E18" s="15"/>
      <c r="F18" s="8"/>
      <c r="G18" s="16" t="str">
        <f>IF(C18="","",IFERROR(VLOOKUP(C18,'الشحنات والطلبيات'!$A:$H,3,FALSE()),"رقم غير موجود"))</f>
        <v/>
      </c>
    </row>
    <row r="19" spans="1:7" x14ac:dyDescent="0.35">
      <c r="A19" s="8"/>
      <c r="B19" s="13"/>
      <c r="C19" s="8"/>
      <c r="D19" s="8"/>
      <c r="E19" s="15"/>
      <c r="F19" s="8"/>
      <c r="G19" s="16" t="str">
        <f>IF(C19="","",IFERROR(VLOOKUP(C19,'الشحنات والطلبيات'!$A:$H,3,FALSE()),"رقم غير موجود"))</f>
        <v/>
      </c>
    </row>
    <row r="20" spans="1:7" x14ac:dyDescent="0.35">
      <c r="A20" s="8"/>
      <c r="B20" s="13"/>
      <c r="C20" s="8"/>
      <c r="D20" s="8"/>
      <c r="E20" s="15"/>
      <c r="F20" s="8"/>
      <c r="G20" s="16" t="str">
        <f>IF(C20="","",IFERROR(VLOOKUP(C20,'الشحنات والطلبيات'!$A:$H,3,FALSE()),"رقم غير موجود"))</f>
        <v/>
      </c>
    </row>
    <row r="21" spans="1:7" x14ac:dyDescent="0.35">
      <c r="A21" s="8"/>
      <c r="B21" s="13"/>
      <c r="C21" s="8"/>
      <c r="D21" s="8"/>
      <c r="E21" s="15"/>
      <c r="F21" s="8"/>
      <c r="G21" s="16" t="str">
        <f>IF(C21="","",IFERROR(VLOOKUP(C21,'الشحنات والطلبيات'!$A:$H,3,FALSE()),"رقم غير موجود"))</f>
        <v/>
      </c>
    </row>
    <row r="22" spans="1:7" x14ac:dyDescent="0.35">
      <c r="A22" s="8"/>
      <c r="B22" s="13"/>
      <c r="C22" s="8"/>
      <c r="D22" s="8"/>
      <c r="E22" s="15"/>
      <c r="F22" s="8"/>
      <c r="G22" s="16" t="str">
        <f>IF(C22="","",IFERROR(VLOOKUP(C22,'الشحنات والطلبيات'!$A:$H,3,FALSE()),"رقم غير موجود"))</f>
        <v/>
      </c>
    </row>
    <row r="23" spans="1:7" x14ac:dyDescent="0.35">
      <c r="A23" s="8"/>
      <c r="B23" s="13"/>
      <c r="C23" s="8"/>
      <c r="D23" s="8"/>
      <c r="E23" s="15"/>
      <c r="F23" s="8"/>
      <c r="G23" s="16" t="str">
        <f>IF(C23="","",IFERROR(VLOOKUP(C23,'الشحنات والطلبيات'!$A:$H,3,FALSE()),"رقم غير موجود"))</f>
        <v/>
      </c>
    </row>
    <row r="24" spans="1:7" x14ac:dyDescent="0.35">
      <c r="A24" s="8"/>
      <c r="B24" s="13"/>
      <c r="C24" s="8"/>
      <c r="D24" s="8"/>
      <c r="E24" s="15"/>
      <c r="F24" s="8"/>
      <c r="G24" s="16" t="str">
        <f>IF(C24="","",IFERROR(VLOOKUP(C24,'الشحنات والطلبيات'!$A:$H,3,FALSE()),"رقم غير موجود"))</f>
        <v/>
      </c>
    </row>
    <row r="25" spans="1:7" x14ac:dyDescent="0.35">
      <c r="A25" s="8"/>
      <c r="B25" s="13"/>
      <c r="C25" s="8"/>
      <c r="D25" s="8"/>
      <c r="E25" s="15"/>
      <c r="F25" s="8"/>
      <c r="G25" s="16" t="str">
        <f>IF(C25="","",IFERROR(VLOOKUP(C25,'الشحنات والطلبيات'!$A:$H,3,FALSE()),"رقم غير موجود"))</f>
        <v/>
      </c>
    </row>
    <row r="26" spans="1:7" x14ac:dyDescent="0.35">
      <c r="A26" s="8"/>
      <c r="B26" s="13"/>
      <c r="C26" s="8"/>
      <c r="D26" s="8"/>
      <c r="E26" s="15"/>
      <c r="F26" s="8"/>
      <c r="G26" s="16" t="str">
        <f>IF(C26="","",IFERROR(VLOOKUP(C26,'الشحنات والطلبيات'!$A:$H,3,FALSE()),"رقم غير موجود"))</f>
        <v/>
      </c>
    </row>
    <row r="27" spans="1:7" x14ac:dyDescent="0.35">
      <c r="A27" s="8"/>
      <c r="B27" s="13"/>
      <c r="C27" s="8"/>
      <c r="D27" s="8"/>
      <c r="E27" s="15"/>
      <c r="F27" s="8"/>
      <c r="G27" s="16" t="str">
        <f>IF(C27="","",IFERROR(VLOOKUP(C27,'الشحنات والطلبيات'!$A:$H,3,FALSE()),"رقم غير موجود"))</f>
        <v/>
      </c>
    </row>
    <row r="28" spans="1:7" x14ac:dyDescent="0.35">
      <c r="A28" s="8"/>
      <c r="B28" s="13"/>
      <c r="C28" s="8"/>
      <c r="D28" s="8"/>
      <c r="E28" s="15"/>
      <c r="F28" s="8"/>
      <c r="G28" s="16" t="str">
        <f>IF(C28="","",IFERROR(VLOOKUP(C28,'الشحنات والطلبيات'!$A:$H,3,FALSE()),"رقم غير موجود"))</f>
        <v/>
      </c>
    </row>
    <row r="29" spans="1:7" x14ac:dyDescent="0.35">
      <c r="A29" s="8"/>
      <c r="B29" s="13"/>
      <c r="C29" s="8"/>
      <c r="D29" s="8"/>
      <c r="E29" s="15"/>
      <c r="F29" s="8"/>
      <c r="G29" s="16" t="str">
        <f>IF(C29="","",IFERROR(VLOOKUP(C29,'الشحنات والطلبيات'!$A:$H,3,FALSE()),"رقم غير موجود"))</f>
        <v/>
      </c>
    </row>
    <row r="30" spans="1:7" x14ac:dyDescent="0.35">
      <c r="A30" s="8"/>
      <c r="B30" s="13"/>
      <c r="C30" s="8"/>
      <c r="D30" s="8"/>
      <c r="E30" s="15"/>
      <c r="F30" s="8"/>
      <c r="G30" s="16" t="str">
        <f>IF(C30="","",IFERROR(VLOOKUP(C30,'الشحنات والطلبيات'!$A:$H,3,FALSE()),"رقم غير موجود"))</f>
        <v/>
      </c>
    </row>
    <row r="31" spans="1:7" x14ac:dyDescent="0.35">
      <c r="A31" s="8"/>
      <c r="B31" s="13"/>
      <c r="C31" s="8"/>
      <c r="D31" s="8"/>
      <c r="E31" s="15"/>
      <c r="F31" s="8"/>
      <c r="G31" s="16" t="str">
        <f>IF(C31="","",IFERROR(VLOOKUP(C31,'الشحنات والطلبيات'!$A:$H,3,FALSE()),"رقم غير موجود"))</f>
        <v/>
      </c>
    </row>
    <row r="32" spans="1:7" x14ac:dyDescent="0.35">
      <c r="A32" s="8"/>
      <c r="B32" s="13"/>
      <c r="C32" s="8"/>
      <c r="D32" s="8"/>
      <c r="E32" s="15"/>
      <c r="F32" s="8"/>
      <c r="G32" s="16" t="str">
        <f>IF(C32="","",IFERROR(VLOOKUP(C32,'الشحنات والطلبيات'!$A:$H,3,FALSE()),"رقم غير موجود"))</f>
        <v/>
      </c>
    </row>
    <row r="33" spans="1:7" x14ac:dyDescent="0.35">
      <c r="A33" s="8"/>
      <c r="B33" s="13"/>
      <c r="C33" s="8"/>
      <c r="D33" s="8"/>
      <c r="E33" s="15"/>
      <c r="F33" s="8"/>
      <c r="G33" s="16" t="str">
        <f>IF(C33="","",IFERROR(VLOOKUP(C33,'الشحنات والطلبيات'!$A:$H,3,FALSE()),"رقم غير موجود"))</f>
        <v/>
      </c>
    </row>
    <row r="34" spans="1:7" x14ac:dyDescent="0.35">
      <c r="A34" s="8"/>
      <c r="B34" s="13"/>
      <c r="C34" s="8"/>
      <c r="D34" s="8"/>
      <c r="E34" s="15"/>
      <c r="F34" s="8"/>
      <c r="G34" s="16" t="str">
        <f>IF(C34="","",IFERROR(VLOOKUP(C34,'الشحنات والطلبيات'!$A:$H,3,FALSE()),"رقم غير موجود"))</f>
        <v/>
      </c>
    </row>
    <row r="35" spans="1:7" x14ac:dyDescent="0.35">
      <c r="A35" s="8"/>
      <c r="B35" s="13"/>
      <c r="C35" s="8"/>
      <c r="D35" s="8"/>
      <c r="E35" s="15"/>
      <c r="F35" s="8"/>
      <c r="G35" s="16" t="str">
        <f>IF(C35="","",IFERROR(VLOOKUP(C35,'الشحنات والطلبيات'!$A:$H,3,FALSE()),"رقم غير موجود"))</f>
        <v/>
      </c>
    </row>
    <row r="36" spans="1:7" x14ac:dyDescent="0.35">
      <c r="A36" s="8"/>
      <c r="B36" s="13"/>
      <c r="C36" s="8"/>
      <c r="D36" s="8"/>
      <c r="E36" s="15"/>
      <c r="F36" s="8"/>
      <c r="G36" s="16" t="str">
        <f>IF(C36="","",IFERROR(VLOOKUP(C36,'الشحنات والطلبيات'!$A:$H,3,FALSE()),"رقم غير موجود"))</f>
        <v/>
      </c>
    </row>
    <row r="37" spans="1:7" x14ac:dyDescent="0.35">
      <c r="A37" s="8"/>
      <c r="B37" s="13"/>
      <c r="C37" s="8"/>
      <c r="D37" s="8"/>
      <c r="E37" s="15"/>
      <c r="F37" s="8"/>
      <c r="G37" s="16" t="str">
        <f>IF(C37="","",IFERROR(VLOOKUP(C37,'الشحنات والطلبيات'!$A:$H,3,FALSE()),"رقم غير موجود"))</f>
        <v/>
      </c>
    </row>
    <row r="38" spans="1:7" x14ac:dyDescent="0.35">
      <c r="A38" s="8"/>
      <c r="B38" s="13"/>
      <c r="C38" s="8"/>
      <c r="D38" s="8"/>
      <c r="E38" s="15"/>
      <c r="F38" s="8"/>
      <c r="G38" s="16" t="str">
        <f>IF(C38="","",IFERROR(VLOOKUP(C38,'الشحنات والطلبيات'!$A:$H,3,FALSE()),"رقم غير موجود"))</f>
        <v/>
      </c>
    </row>
    <row r="39" spans="1:7" x14ac:dyDescent="0.35">
      <c r="A39" s="8"/>
      <c r="B39" s="13"/>
      <c r="C39" s="8"/>
      <c r="D39" s="8"/>
      <c r="E39" s="15"/>
      <c r="F39" s="8"/>
      <c r="G39" s="16" t="str">
        <f>IF(C39="","",IFERROR(VLOOKUP(C39,'الشحنات والطلبيات'!$A:$H,3,FALSE()),"رقم غير موجود"))</f>
        <v/>
      </c>
    </row>
    <row r="40" spans="1:7" x14ac:dyDescent="0.35">
      <c r="A40" s="8"/>
      <c r="B40" s="13"/>
      <c r="C40" s="8"/>
      <c r="D40" s="8"/>
      <c r="E40" s="15"/>
      <c r="F40" s="8"/>
      <c r="G40" s="16" t="str">
        <f>IF(C40="","",IFERROR(VLOOKUP(C40,'الشحنات والطلبيات'!$A:$H,3,FALSE()),"رقم غير موجود"))</f>
        <v/>
      </c>
    </row>
    <row r="41" spans="1:7" x14ac:dyDescent="0.35">
      <c r="A41" s="8"/>
      <c r="B41" s="13"/>
      <c r="C41" s="8"/>
      <c r="D41" s="8"/>
      <c r="E41" s="15"/>
      <c r="F41" s="8"/>
      <c r="G41" s="16" t="str">
        <f>IF(C41="","",IFERROR(VLOOKUP(C41,'الشحنات والطلبيات'!$A:$H,3,FALSE()),"رقم غير موجود"))</f>
        <v/>
      </c>
    </row>
    <row r="42" spans="1:7" x14ac:dyDescent="0.35">
      <c r="A42" s="8"/>
      <c r="B42" s="13"/>
      <c r="C42" s="8"/>
      <c r="D42" s="8"/>
      <c r="E42" s="15"/>
      <c r="F42" s="8"/>
      <c r="G42" s="16" t="str">
        <f>IF(C42="","",IFERROR(VLOOKUP(C42,'الشحنات والطلبيات'!$A:$H,3,FALSE()),"رقم غير موجود"))</f>
        <v/>
      </c>
    </row>
    <row r="43" spans="1:7" x14ac:dyDescent="0.35">
      <c r="A43" s="8"/>
      <c r="B43" s="13"/>
      <c r="C43" s="8"/>
      <c r="D43" s="8"/>
      <c r="E43" s="15"/>
      <c r="F43" s="8"/>
      <c r="G43" s="16" t="str">
        <f>IF(C43="","",IFERROR(VLOOKUP(C43,'الشحنات والطلبيات'!$A:$H,3,FALSE()),"رقم غير موجود"))</f>
        <v/>
      </c>
    </row>
    <row r="44" spans="1:7" x14ac:dyDescent="0.35">
      <c r="A44" s="8"/>
      <c r="B44" s="13"/>
      <c r="C44" s="8"/>
      <c r="D44" s="8"/>
      <c r="E44" s="15"/>
      <c r="F44" s="8"/>
      <c r="G44" s="16" t="str">
        <f>IF(C44="","",IFERROR(VLOOKUP(C44,'الشحنات والطلبيات'!$A:$H,3,FALSE()),"رقم غير موجود"))</f>
        <v/>
      </c>
    </row>
    <row r="45" spans="1:7" x14ac:dyDescent="0.35">
      <c r="A45" s="8"/>
      <c r="B45" s="13"/>
      <c r="C45" s="8"/>
      <c r="D45" s="8"/>
      <c r="E45" s="15"/>
      <c r="F45" s="8"/>
      <c r="G45" s="16" t="str">
        <f>IF(C45="","",IFERROR(VLOOKUP(C45,'الشحنات والطلبيات'!$A:$H,3,FALSE()),"رقم غير موجود"))</f>
        <v/>
      </c>
    </row>
    <row r="46" spans="1:7" x14ac:dyDescent="0.35">
      <c r="A46" s="8"/>
      <c r="B46" s="13"/>
      <c r="C46" s="8"/>
      <c r="D46" s="8"/>
      <c r="E46" s="15"/>
      <c r="F46" s="8"/>
      <c r="G46" s="16" t="str">
        <f>IF(C46="","",IFERROR(VLOOKUP(C46,'الشحنات والطلبيات'!$A:$H,3,FALSE()),"رقم غير موجود"))</f>
        <v/>
      </c>
    </row>
    <row r="47" spans="1:7" x14ac:dyDescent="0.35">
      <c r="A47" s="8"/>
      <c r="B47" s="13"/>
      <c r="C47" s="8"/>
      <c r="D47" s="8"/>
      <c r="E47" s="15"/>
      <c r="F47" s="8"/>
      <c r="G47" s="16" t="str">
        <f>IF(C47="","",IFERROR(VLOOKUP(C47,'الشحنات والطلبيات'!$A:$H,3,FALSE()),"رقم غير موجود"))</f>
        <v/>
      </c>
    </row>
    <row r="48" spans="1:7" x14ac:dyDescent="0.35">
      <c r="A48" s="8"/>
      <c r="B48" s="13"/>
      <c r="C48" s="8"/>
      <c r="D48" s="8"/>
      <c r="E48" s="15"/>
      <c r="F48" s="8"/>
      <c r="G48" s="16" t="str">
        <f>IF(C48="","",IFERROR(VLOOKUP(C48,'الشحنات والطلبيات'!$A:$H,3,FALSE()),"رقم غير موجود"))</f>
        <v/>
      </c>
    </row>
    <row r="49" spans="1:7" x14ac:dyDescent="0.35">
      <c r="A49" s="8"/>
      <c r="B49" s="13"/>
      <c r="C49" s="8"/>
      <c r="D49" s="8"/>
      <c r="E49" s="15"/>
      <c r="F49" s="8"/>
      <c r="G49" s="16" t="str">
        <f>IF(C49="","",IFERROR(VLOOKUP(C49,'الشحنات والطلبيات'!$A:$H,3,FALSE()),"رقم غير موجود"))</f>
        <v/>
      </c>
    </row>
    <row r="50" spans="1:7" x14ac:dyDescent="0.35">
      <c r="A50" s="8"/>
      <c r="B50" s="13"/>
      <c r="C50" s="8"/>
      <c r="D50" s="8"/>
      <c r="E50" s="15"/>
      <c r="F50" s="8"/>
      <c r="G50" s="16" t="str">
        <f>IF(C50="","",IFERROR(VLOOKUP(C50,'الشحنات والطلبيات'!$A:$H,3,FALSE()),"رقم غير موجود"))</f>
        <v/>
      </c>
    </row>
    <row r="51" spans="1:7" x14ac:dyDescent="0.35">
      <c r="A51" s="8"/>
      <c r="B51" s="13"/>
      <c r="C51" s="8"/>
      <c r="D51" s="8"/>
      <c r="E51" s="15"/>
      <c r="F51" s="8"/>
      <c r="G51" s="16" t="str">
        <f>IF(C51="","",IFERROR(VLOOKUP(C51,'الشحنات والطلبيات'!$A:$H,3,FALSE()),"رقم غير موجود"))</f>
        <v/>
      </c>
    </row>
    <row r="52" spans="1:7" x14ac:dyDescent="0.35">
      <c r="A52" s="8"/>
      <c r="B52" s="13"/>
      <c r="C52" s="8"/>
      <c r="D52" s="8"/>
      <c r="E52" s="15"/>
      <c r="F52" s="8"/>
      <c r="G52" s="16" t="str">
        <f>IF(C52="","",IFERROR(VLOOKUP(C52,'الشحنات والطلبيات'!$A:$H,3,FALSE()),"رقم غير موجود"))</f>
        <v/>
      </c>
    </row>
    <row r="53" spans="1:7" x14ac:dyDescent="0.35">
      <c r="A53" s="8"/>
      <c r="B53" s="13"/>
      <c r="C53" s="8"/>
      <c r="D53" s="8"/>
      <c r="E53" s="15"/>
      <c r="F53" s="8"/>
      <c r="G53" s="16" t="str">
        <f>IF(C53="","",IFERROR(VLOOKUP(C53,'الشحنات والطلبيات'!$A:$H,3,FALSE()),"رقم غير موجود"))</f>
        <v/>
      </c>
    </row>
    <row r="55" spans="1:7" x14ac:dyDescent="0.35">
      <c r="A55" s="9" t="s">
        <v>53</v>
      </c>
    </row>
  </sheetData>
  <mergeCells count="2">
    <mergeCell ref="A1:G1"/>
    <mergeCell ref="A2:G2"/>
  </mergeCells>
  <dataValidations count="1">
    <dataValidation type="list" allowBlank="1" sqref="D4:D53" xr:uid="{00000000-0002-0000-0200-000001000000}">
      <formula1>"وقود,رسوم الطريق (أوتوروت),صيانة خفيفة,صيانة كبرى,تأمين,أخرى"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'الشحنات والطلبيات'!$A$4:$A$53</xm:f>
          </x14:formula1>
          <x14:formula2>
            <xm:f>0</xm:f>
          </x14:formula2>
          <xm:sqref>C4:C53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rightToLeft="1" zoomScaleNormal="100" workbookViewId="0">
      <pane ySplit="3" topLeftCell="A4" activePane="bottomLeft" state="frozen"/>
      <selection pane="bottomLeft" activeCell="B10" sqref="B10"/>
    </sheetView>
  </sheetViews>
  <sheetFormatPr defaultColWidth="8.6328125" defaultRowHeight="14.5" x14ac:dyDescent="0.35"/>
  <cols>
    <col min="1" max="1" width="24" customWidth="1"/>
    <col min="2" max="3" width="13" customWidth="1"/>
    <col min="4" max="4" width="18" customWidth="1"/>
    <col min="5" max="7" width="15" customWidth="1"/>
  </cols>
  <sheetData>
    <row r="1" spans="1:7" ht="30" customHeight="1" x14ac:dyDescent="0.35">
      <c r="A1" s="5" t="s">
        <v>54</v>
      </c>
      <c r="B1" s="5"/>
      <c r="C1" s="5"/>
      <c r="D1" s="5"/>
      <c r="E1" s="5"/>
      <c r="F1" s="5"/>
      <c r="G1" s="5"/>
    </row>
    <row r="2" spans="1:7" ht="15.75" customHeight="1" x14ac:dyDescent="0.35">
      <c r="A2" s="4" t="s">
        <v>55</v>
      </c>
      <c r="B2" s="4"/>
      <c r="C2" s="4"/>
      <c r="D2" s="4"/>
      <c r="E2" s="4"/>
      <c r="F2" s="4"/>
      <c r="G2" s="4"/>
    </row>
    <row r="3" spans="1:7" ht="33.75" customHeight="1" x14ac:dyDescent="0.35">
      <c r="A3" s="25" t="s">
        <v>56</v>
      </c>
      <c r="B3" s="26" t="s">
        <v>57</v>
      </c>
      <c r="C3" s="26" t="s">
        <v>58</v>
      </c>
      <c r="D3" s="26" t="s">
        <v>19</v>
      </c>
      <c r="E3" s="26" t="s">
        <v>59</v>
      </c>
      <c r="F3" s="26" t="s">
        <v>60</v>
      </c>
      <c r="G3" s="27" t="s">
        <v>61</v>
      </c>
    </row>
    <row r="4" spans="1:7" x14ac:dyDescent="0.35">
      <c r="A4" s="21" t="s">
        <v>62</v>
      </c>
      <c r="B4" s="10">
        <v>46235</v>
      </c>
      <c r="C4" s="10">
        <v>46241</v>
      </c>
      <c r="D4" s="7" t="s">
        <v>26</v>
      </c>
      <c r="E4" s="15">
        <f>IF($D4="","",SUMIFS('الشحنات والطلبيات'!$G$4:$G$53,'الشحنات والطلبيات'!$C$4:$C$53,$D4,'الشحنات والطلبيات'!$B$4:$B$53,"&gt;="&amp;$B4,'الشحنات والطلبيات'!$B$4:$B$53,"&lt;="&amp;$C4))</f>
        <v>1950</v>
      </c>
      <c r="F4" s="15">
        <f>IF($D4="","",SUMIFS('المصاريف التشغيلية'!$E$4:$E$53,'المصاريف التشغيلية'!$G$4:$G$53,$D4,'المصاريف التشغيلية'!$B$4:$B$53,"&gt;="&amp;$B4,'المصاريف التشغيلية'!$B$4:$B$53,"&lt;="&amp;$C4))</f>
        <v>0</v>
      </c>
      <c r="G4" s="36">
        <f t="shared" ref="G4:G35" si="0">IF($D4="","",E4-F4)</f>
        <v>1950</v>
      </c>
    </row>
    <row r="5" spans="1:7" x14ac:dyDescent="0.35">
      <c r="A5" s="21" t="s">
        <v>62</v>
      </c>
      <c r="B5" s="10">
        <v>46235</v>
      </c>
      <c r="C5" s="10">
        <v>46241</v>
      </c>
      <c r="D5" s="7" t="s">
        <v>30</v>
      </c>
      <c r="E5" s="15">
        <f>IF($D5="","",SUMIFS('الشحنات والطلبيات'!$G$4:$G$53,'الشحنات والطلبيات'!$C$4:$C$53,$D5,'الشحنات والطلبيات'!$B$4:$B$53,"&gt;="&amp;$B5,'الشحنات والطلبيات'!$B$4:$B$53,"&lt;="&amp;$C5))</f>
        <v>2800</v>
      </c>
      <c r="F5" s="15">
        <f>IF($D5="","",SUMIFS('المصاريف التشغيلية'!$E$4:$E$53,'المصاريف التشغيلية'!$G$4:$G$53,$D5,'المصاريف التشغيلية'!$B$4:$B$53,"&gt;="&amp;$B5,'المصاريف التشغيلية'!$B$4:$B$53,"&lt;="&amp;$C5))</f>
        <v>0</v>
      </c>
      <c r="G5" s="36">
        <f t="shared" si="0"/>
        <v>2800</v>
      </c>
    </row>
    <row r="6" spans="1:7" x14ac:dyDescent="0.35">
      <c r="A6" s="22"/>
      <c r="B6" s="13"/>
      <c r="C6" s="13"/>
      <c r="D6" s="8"/>
      <c r="E6" s="15" t="str">
        <f>IF($D6="","",SUMIFS('الشحنات والطلبيات'!$G$4:$G$53,'الشحنات والطلبيات'!$C$4:$C$53,$D6,'الشحنات والطلبيات'!$B$4:$B$53,"&gt;="&amp;$B6,'الشحنات والطلبيات'!$B$4:$B$53,"&lt;="&amp;$C6))</f>
        <v/>
      </c>
      <c r="F6" s="15" t="str">
        <f>IF($D6="","",SUMIFS('المصاريف التشغيلية'!$E$4:$E$53,'المصاريف التشغيلية'!$G$4:$G$53,$D6,'المصاريف التشغيلية'!$B$4:$B$53,"&gt;="&amp;$B6,'المصاريف التشغيلية'!$B$4:$B$53,"&lt;="&amp;$C6))</f>
        <v/>
      </c>
      <c r="G6" s="36" t="str">
        <f t="shared" si="0"/>
        <v/>
      </c>
    </row>
    <row r="7" spans="1:7" x14ac:dyDescent="0.35">
      <c r="A7" s="22"/>
      <c r="B7" s="13"/>
      <c r="C7" s="13"/>
      <c r="D7" s="8"/>
      <c r="E7" s="15" t="str">
        <f>IF($D7="","",SUMIFS('الشحنات والطلبيات'!$G$4:$G$53,'الشحنات والطلبيات'!$C$4:$C$53,$D7,'الشحنات والطلبيات'!$B$4:$B$53,"&gt;="&amp;$B7,'الشحنات والطلبيات'!$B$4:$B$53,"&lt;="&amp;$C7))</f>
        <v/>
      </c>
      <c r="F7" s="15" t="str">
        <f>IF($D7="","",SUMIFS('المصاريف التشغيلية'!$E$4:$E$53,'المصاريف التشغيلية'!$G$4:$G$53,$D7,'المصاريف التشغيلية'!$B$4:$B$53,"&gt;="&amp;$B7,'المصاريف التشغيلية'!$B$4:$B$53,"&lt;="&amp;$C7))</f>
        <v/>
      </c>
      <c r="G7" s="36" t="str">
        <f t="shared" si="0"/>
        <v/>
      </c>
    </row>
    <row r="8" spans="1:7" x14ac:dyDescent="0.35">
      <c r="A8" s="22"/>
      <c r="B8" s="13"/>
      <c r="C8" s="13"/>
      <c r="D8" s="8"/>
      <c r="E8" s="15" t="str">
        <f>IF($D8="","",SUMIFS('الشحنات والطلبيات'!$G$4:$G$53,'الشحنات والطلبيات'!$C$4:$C$53,$D8,'الشحنات والطلبيات'!$B$4:$B$53,"&gt;="&amp;$B8,'الشحنات والطلبيات'!$B$4:$B$53,"&lt;="&amp;$C8))</f>
        <v/>
      </c>
      <c r="F8" s="15" t="str">
        <f>IF($D8="","",SUMIFS('المصاريف التشغيلية'!$E$4:$E$53,'المصاريف التشغيلية'!$G$4:$G$53,$D8,'المصاريف التشغيلية'!$B$4:$B$53,"&gt;="&amp;$B8,'المصاريف التشغيلية'!$B$4:$B$53,"&lt;="&amp;$C8))</f>
        <v/>
      </c>
      <c r="G8" s="36" t="str">
        <f t="shared" si="0"/>
        <v/>
      </c>
    </row>
    <row r="9" spans="1:7" x14ac:dyDescent="0.35">
      <c r="A9" s="28"/>
      <c r="B9" s="31"/>
      <c r="C9" s="31"/>
      <c r="D9" s="29"/>
      <c r="E9" s="33" t="str">
        <f>IF($D9="","",SUMIFS('الشحنات والطلبيات'!$G$4:$G$53,'الشحنات والطلبيات'!$C$4:$C$53,$D9,'الشحنات والطلبيات'!$B$4:$B$53,"&gt;="&amp;$B9,'الشحنات والطلبيات'!$B$4:$B$53,"&lt;="&amp;$C9))</f>
        <v/>
      </c>
      <c r="F9" s="33" t="str">
        <f>IF($D9="","",SUMIFS('المصاريف التشغيلية'!$E$4:$E$53,'المصاريف التشغيلية'!$G$4:$G$53,$D9,'المصاريف التشغيلية'!$B$4:$B$53,"&gt;="&amp;$B9,'المصاريف التشغيلية'!$B$4:$B$53,"&lt;="&amp;$C9))</f>
        <v/>
      </c>
      <c r="G9" s="37" t="str">
        <f t="shared" si="0"/>
        <v/>
      </c>
    </row>
    <row r="10" spans="1:7" x14ac:dyDescent="0.35">
      <c r="A10" s="8"/>
      <c r="B10" s="13"/>
      <c r="C10" s="13"/>
      <c r="D10" s="8"/>
      <c r="E10" s="15" t="str">
        <f>IF($D10="","",SUMIFS('الشحنات والطلبيات'!$G$4:$G$53,'الشحنات والطلبيات'!$C$4:$C$53,$D10,'الشحنات والطلبيات'!$B$4:$B$53,"&gt;="&amp;$B10,'الشحنات والطلبيات'!$B$4:$B$53,"&lt;="&amp;$C10))</f>
        <v/>
      </c>
      <c r="F10" s="15" t="str">
        <f>IF($D10="","",SUMIFS('المصاريف التشغيلية'!$E$4:$E$53,'المصاريف التشغيلية'!$G$4:$G$53,$D10,'المصاريف التشغيلية'!$B$4:$B$53,"&gt;="&amp;$B10,'المصاريف التشغيلية'!$B$4:$B$53,"&lt;="&amp;$C10))</f>
        <v/>
      </c>
      <c r="G10" s="17" t="str">
        <f t="shared" si="0"/>
        <v/>
      </c>
    </row>
    <row r="11" spans="1:7" x14ac:dyDescent="0.35">
      <c r="A11" s="8"/>
      <c r="B11" s="13"/>
      <c r="C11" s="13"/>
      <c r="D11" s="8"/>
      <c r="E11" s="15" t="str">
        <f>IF($D11="","",SUMIFS('الشحنات والطلبيات'!$G$4:$G$53,'الشحنات والطلبيات'!$C$4:$C$53,$D11,'الشحنات والطلبيات'!$B$4:$B$53,"&gt;="&amp;$B11,'الشحنات والطلبيات'!$B$4:$B$53,"&lt;="&amp;$C11))</f>
        <v/>
      </c>
      <c r="F11" s="15" t="str">
        <f>IF($D11="","",SUMIFS('المصاريف التشغيلية'!$E$4:$E$53,'المصاريف التشغيلية'!$G$4:$G$53,$D11,'المصاريف التشغيلية'!$B$4:$B$53,"&gt;="&amp;$B11,'المصاريف التشغيلية'!$B$4:$B$53,"&lt;="&amp;$C11))</f>
        <v/>
      </c>
      <c r="G11" s="17" t="str">
        <f t="shared" si="0"/>
        <v/>
      </c>
    </row>
    <row r="12" spans="1:7" x14ac:dyDescent="0.35">
      <c r="A12" s="8"/>
      <c r="B12" s="13"/>
      <c r="C12" s="13"/>
      <c r="D12" s="8"/>
      <c r="E12" s="15" t="str">
        <f>IF($D12="","",SUMIFS('الشحنات والطلبيات'!$G$4:$G$53,'الشحنات والطلبيات'!$C$4:$C$53,$D12,'الشحنات والطلبيات'!$B$4:$B$53,"&gt;="&amp;$B12,'الشحنات والطلبيات'!$B$4:$B$53,"&lt;="&amp;$C12))</f>
        <v/>
      </c>
      <c r="F12" s="15" t="str">
        <f>IF($D12="","",SUMIFS('المصاريف التشغيلية'!$E$4:$E$53,'المصاريف التشغيلية'!$G$4:$G$53,$D12,'المصاريف التشغيلية'!$B$4:$B$53,"&gt;="&amp;$B12,'المصاريف التشغيلية'!$B$4:$B$53,"&lt;="&amp;$C12))</f>
        <v/>
      </c>
      <c r="G12" s="17" t="str">
        <f t="shared" si="0"/>
        <v/>
      </c>
    </row>
    <row r="13" spans="1:7" x14ac:dyDescent="0.35">
      <c r="A13" s="8"/>
      <c r="B13" s="13"/>
      <c r="C13" s="13"/>
      <c r="D13" s="8"/>
      <c r="E13" s="15" t="str">
        <f>IF($D13="","",SUMIFS('الشحنات والطلبيات'!$G$4:$G$53,'الشحنات والطلبيات'!$C$4:$C$53,$D13,'الشحنات والطلبيات'!$B$4:$B$53,"&gt;="&amp;$B13,'الشحنات والطلبيات'!$B$4:$B$53,"&lt;="&amp;$C13))</f>
        <v/>
      </c>
      <c r="F13" s="15" t="str">
        <f>IF($D13="","",SUMIFS('المصاريف التشغيلية'!$E$4:$E$53,'المصاريف التشغيلية'!$G$4:$G$53,$D13,'المصاريف التشغيلية'!$B$4:$B$53,"&gt;="&amp;$B13,'المصاريف التشغيلية'!$B$4:$B$53,"&lt;="&amp;$C13))</f>
        <v/>
      </c>
      <c r="G13" s="17" t="str">
        <f t="shared" si="0"/>
        <v/>
      </c>
    </row>
    <row r="14" spans="1:7" x14ac:dyDescent="0.35">
      <c r="A14" s="8"/>
      <c r="B14" s="13"/>
      <c r="C14" s="13"/>
      <c r="D14" s="8"/>
      <c r="E14" s="15" t="str">
        <f>IF($D14="","",SUMIFS('الشحنات والطلبيات'!$G$4:$G$53,'الشحنات والطلبيات'!$C$4:$C$53,$D14,'الشحنات والطلبيات'!$B$4:$B$53,"&gt;="&amp;$B14,'الشحنات والطلبيات'!$B$4:$B$53,"&lt;="&amp;$C14))</f>
        <v/>
      </c>
      <c r="F14" s="15" t="str">
        <f>IF($D14="","",SUMIFS('المصاريف التشغيلية'!$E$4:$E$53,'المصاريف التشغيلية'!$G$4:$G$53,$D14,'المصاريف التشغيلية'!$B$4:$B$53,"&gt;="&amp;$B14,'المصاريف التشغيلية'!$B$4:$B$53,"&lt;="&amp;$C14))</f>
        <v/>
      </c>
      <c r="G14" s="17" t="str">
        <f t="shared" si="0"/>
        <v/>
      </c>
    </row>
    <row r="15" spans="1:7" x14ac:dyDescent="0.35">
      <c r="A15" s="8"/>
      <c r="B15" s="13"/>
      <c r="C15" s="13"/>
      <c r="D15" s="8"/>
      <c r="E15" s="15" t="str">
        <f>IF($D15="","",SUMIFS('الشحنات والطلبيات'!$G$4:$G$53,'الشحنات والطلبيات'!$C$4:$C$53,$D15,'الشحنات والطلبيات'!$B$4:$B$53,"&gt;="&amp;$B15,'الشحنات والطلبيات'!$B$4:$B$53,"&lt;="&amp;$C15))</f>
        <v/>
      </c>
      <c r="F15" s="15" t="str">
        <f>IF($D15="","",SUMIFS('المصاريف التشغيلية'!$E$4:$E$53,'المصاريف التشغيلية'!$G$4:$G$53,$D15,'المصاريف التشغيلية'!$B$4:$B$53,"&gt;="&amp;$B15,'المصاريف التشغيلية'!$B$4:$B$53,"&lt;="&amp;$C15))</f>
        <v/>
      </c>
      <c r="G15" s="17" t="str">
        <f t="shared" si="0"/>
        <v/>
      </c>
    </row>
    <row r="16" spans="1:7" x14ac:dyDescent="0.35">
      <c r="A16" s="8"/>
      <c r="B16" s="13"/>
      <c r="C16" s="13"/>
      <c r="D16" s="8"/>
      <c r="E16" s="15" t="str">
        <f>IF($D16="","",SUMIFS('الشحنات والطلبيات'!$G$4:$G$53,'الشحنات والطلبيات'!$C$4:$C$53,$D16,'الشحنات والطلبيات'!$B$4:$B$53,"&gt;="&amp;$B16,'الشحنات والطلبيات'!$B$4:$B$53,"&lt;="&amp;$C16))</f>
        <v/>
      </c>
      <c r="F16" s="15" t="str">
        <f>IF($D16="","",SUMIFS('المصاريف التشغيلية'!$E$4:$E$53,'المصاريف التشغيلية'!$G$4:$G$53,$D16,'المصاريف التشغيلية'!$B$4:$B$53,"&gt;="&amp;$B16,'المصاريف التشغيلية'!$B$4:$B$53,"&lt;="&amp;$C16))</f>
        <v/>
      </c>
      <c r="G16" s="17" t="str">
        <f t="shared" si="0"/>
        <v/>
      </c>
    </row>
    <row r="17" spans="1:7" x14ac:dyDescent="0.35">
      <c r="A17" s="8"/>
      <c r="B17" s="13"/>
      <c r="C17" s="13"/>
      <c r="D17" s="8"/>
      <c r="E17" s="15" t="str">
        <f>IF($D17="","",SUMIFS('الشحنات والطلبيات'!$G$4:$G$53,'الشحنات والطلبيات'!$C$4:$C$53,$D17,'الشحنات والطلبيات'!$B$4:$B$53,"&gt;="&amp;$B17,'الشحنات والطلبيات'!$B$4:$B$53,"&lt;="&amp;$C17))</f>
        <v/>
      </c>
      <c r="F17" s="15" t="str">
        <f>IF($D17="","",SUMIFS('المصاريف التشغيلية'!$E$4:$E$53,'المصاريف التشغيلية'!$G$4:$G$53,$D17,'المصاريف التشغيلية'!$B$4:$B$53,"&gt;="&amp;$B17,'المصاريف التشغيلية'!$B$4:$B$53,"&lt;="&amp;$C17))</f>
        <v/>
      </c>
      <c r="G17" s="17" t="str">
        <f t="shared" si="0"/>
        <v/>
      </c>
    </row>
    <row r="18" spans="1:7" x14ac:dyDescent="0.35">
      <c r="A18" s="8"/>
      <c r="B18" s="13"/>
      <c r="C18" s="13"/>
      <c r="D18" s="8"/>
      <c r="E18" s="15" t="str">
        <f>IF($D18="","",SUMIFS('الشحنات والطلبيات'!$G$4:$G$53,'الشحنات والطلبيات'!$C$4:$C$53,$D18,'الشحنات والطلبيات'!$B$4:$B$53,"&gt;="&amp;$B18,'الشحنات والطلبيات'!$B$4:$B$53,"&lt;="&amp;$C18))</f>
        <v/>
      </c>
      <c r="F18" s="15" t="str">
        <f>IF($D18="","",SUMIFS('المصاريف التشغيلية'!$E$4:$E$53,'المصاريف التشغيلية'!$G$4:$G$53,$D18,'المصاريف التشغيلية'!$B$4:$B$53,"&gt;="&amp;$B18,'المصاريف التشغيلية'!$B$4:$B$53,"&lt;="&amp;$C18))</f>
        <v/>
      </c>
      <c r="G18" s="17" t="str">
        <f t="shared" si="0"/>
        <v/>
      </c>
    </row>
    <row r="19" spans="1:7" x14ac:dyDescent="0.35">
      <c r="A19" s="8"/>
      <c r="B19" s="13"/>
      <c r="C19" s="13"/>
      <c r="D19" s="8"/>
      <c r="E19" s="15" t="str">
        <f>IF($D19="","",SUMIFS('الشحنات والطلبيات'!$G$4:$G$53,'الشحنات والطلبيات'!$C$4:$C$53,$D19,'الشحنات والطلبيات'!$B$4:$B$53,"&gt;="&amp;$B19,'الشحنات والطلبيات'!$B$4:$B$53,"&lt;="&amp;$C19))</f>
        <v/>
      </c>
      <c r="F19" s="15" t="str">
        <f>IF($D19="","",SUMIFS('المصاريف التشغيلية'!$E$4:$E$53,'المصاريف التشغيلية'!$G$4:$G$53,$D19,'المصاريف التشغيلية'!$B$4:$B$53,"&gt;="&amp;$B19,'المصاريف التشغيلية'!$B$4:$B$53,"&lt;="&amp;$C19))</f>
        <v/>
      </c>
      <c r="G19" s="17" t="str">
        <f t="shared" si="0"/>
        <v/>
      </c>
    </row>
    <row r="20" spans="1:7" x14ac:dyDescent="0.35">
      <c r="A20" s="8"/>
      <c r="B20" s="13"/>
      <c r="C20" s="13"/>
      <c r="D20" s="8"/>
      <c r="E20" s="15" t="str">
        <f>IF($D20="","",SUMIFS('الشحنات والطلبيات'!$G$4:$G$53,'الشحنات والطلبيات'!$C$4:$C$53,$D20,'الشحنات والطلبيات'!$B$4:$B$53,"&gt;="&amp;$B20,'الشحنات والطلبيات'!$B$4:$B$53,"&lt;="&amp;$C20))</f>
        <v/>
      </c>
      <c r="F20" s="15" t="str">
        <f>IF($D20="","",SUMIFS('المصاريف التشغيلية'!$E$4:$E$53,'المصاريف التشغيلية'!$G$4:$G$53,$D20,'المصاريف التشغيلية'!$B$4:$B$53,"&gt;="&amp;$B20,'المصاريف التشغيلية'!$B$4:$B$53,"&lt;="&amp;$C20))</f>
        <v/>
      </c>
      <c r="G20" s="17" t="str">
        <f t="shared" si="0"/>
        <v/>
      </c>
    </row>
    <row r="21" spans="1:7" x14ac:dyDescent="0.35">
      <c r="A21" s="8"/>
      <c r="B21" s="13"/>
      <c r="C21" s="13"/>
      <c r="D21" s="8"/>
      <c r="E21" s="15" t="str">
        <f>IF($D21="","",SUMIFS('الشحنات والطلبيات'!$G$4:$G$53,'الشحنات والطلبيات'!$C$4:$C$53,$D21,'الشحنات والطلبيات'!$B$4:$B$53,"&gt;="&amp;$B21,'الشحنات والطلبيات'!$B$4:$B$53,"&lt;="&amp;$C21))</f>
        <v/>
      </c>
      <c r="F21" s="15" t="str">
        <f>IF($D21="","",SUMIFS('المصاريف التشغيلية'!$E$4:$E$53,'المصاريف التشغيلية'!$G$4:$G$53,$D21,'المصاريف التشغيلية'!$B$4:$B$53,"&gt;="&amp;$B21,'المصاريف التشغيلية'!$B$4:$B$53,"&lt;="&amp;$C21))</f>
        <v/>
      </c>
      <c r="G21" s="17" t="str">
        <f t="shared" si="0"/>
        <v/>
      </c>
    </row>
    <row r="22" spans="1:7" x14ac:dyDescent="0.35">
      <c r="A22" s="8"/>
      <c r="B22" s="13"/>
      <c r="C22" s="13"/>
      <c r="D22" s="8"/>
      <c r="E22" s="15" t="str">
        <f>IF($D22="","",SUMIFS('الشحنات والطلبيات'!$G$4:$G$53,'الشحنات والطلبيات'!$C$4:$C$53,$D22,'الشحنات والطلبيات'!$B$4:$B$53,"&gt;="&amp;$B22,'الشحنات والطلبيات'!$B$4:$B$53,"&lt;="&amp;$C22))</f>
        <v/>
      </c>
      <c r="F22" s="15" t="str">
        <f>IF($D22="","",SUMIFS('المصاريف التشغيلية'!$E$4:$E$53,'المصاريف التشغيلية'!$G$4:$G$53,$D22,'المصاريف التشغيلية'!$B$4:$B$53,"&gt;="&amp;$B22,'المصاريف التشغيلية'!$B$4:$B$53,"&lt;="&amp;$C22))</f>
        <v/>
      </c>
      <c r="G22" s="17" t="str">
        <f t="shared" si="0"/>
        <v/>
      </c>
    </row>
    <row r="23" spans="1:7" x14ac:dyDescent="0.35">
      <c r="A23" s="8"/>
      <c r="B23" s="13"/>
      <c r="C23" s="13"/>
      <c r="D23" s="8"/>
      <c r="E23" s="15" t="str">
        <f>IF($D23="","",SUMIFS('الشحنات والطلبيات'!$G$4:$G$53,'الشحنات والطلبيات'!$C$4:$C$53,$D23,'الشحنات والطلبيات'!$B$4:$B$53,"&gt;="&amp;$B23,'الشحنات والطلبيات'!$B$4:$B$53,"&lt;="&amp;$C23))</f>
        <v/>
      </c>
      <c r="F23" s="15" t="str">
        <f>IF($D23="","",SUMIFS('المصاريف التشغيلية'!$E$4:$E$53,'المصاريف التشغيلية'!$G$4:$G$53,$D23,'المصاريف التشغيلية'!$B$4:$B$53,"&gt;="&amp;$B23,'المصاريف التشغيلية'!$B$4:$B$53,"&lt;="&amp;$C23))</f>
        <v/>
      </c>
      <c r="G23" s="17" t="str">
        <f t="shared" si="0"/>
        <v/>
      </c>
    </row>
    <row r="24" spans="1:7" x14ac:dyDescent="0.35">
      <c r="A24" s="8"/>
      <c r="B24" s="13"/>
      <c r="C24" s="13"/>
      <c r="D24" s="8"/>
      <c r="E24" s="15" t="str">
        <f>IF($D24="","",SUMIFS('الشحنات والطلبيات'!$G$4:$G$53,'الشحنات والطلبيات'!$C$4:$C$53,$D24,'الشحنات والطلبيات'!$B$4:$B$53,"&gt;="&amp;$B24,'الشحنات والطلبيات'!$B$4:$B$53,"&lt;="&amp;$C24))</f>
        <v/>
      </c>
      <c r="F24" s="15" t="str">
        <f>IF($D24="","",SUMIFS('المصاريف التشغيلية'!$E$4:$E$53,'المصاريف التشغيلية'!$G$4:$G$53,$D24,'المصاريف التشغيلية'!$B$4:$B$53,"&gt;="&amp;$B24,'المصاريف التشغيلية'!$B$4:$B$53,"&lt;="&amp;$C24))</f>
        <v/>
      </c>
      <c r="G24" s="17" t="str">
        <f t="shared" si="0"/>
        <v/>
      </c>
    </row>
    <row r="25" spans="1:7" x14ac:dyDescent="0.35">
      <c r="A25" s="8"/>
      <c r="B25" s="13"/>
      <c r="C25" s="13"/>
      <c r="D25" s="8"/>
      <c r="E25" s="15" t="str">
        <f>IF($D25="","",SUMIFS('الشحنات والطلبيات'!$G$4:$G$53,'الشحنات والطلبيات'!$C$4:$C$53,$D25,'الشحنات والطلبيات'!$B$4:$B$53,"&gt;="&amp;$B25,'الشحنات والطلبيات'!$B$4:$B$53,"&lt;="&amp;$C25))</f>
        <v/>
      </c>
      <c r="F25" s="15" t="str">
        <f>IF($D25="","",SUMIFS('المصاريف التشغيلية'!$E$4:$E$53,'المصاريف التشغيلية'!$G$4:$G$53,$D25,'المصاريف التشغيلية'!$B$4:$B$53,"&gt;="&amp;$B25,'المصاريف التشغيلية'!$B$4:$B$53,"&lt;="&amp;$C25))</f>
        <v/>
      </c>
      <c r="G25" s="17" t="str">
        <f t="shared" si="0"/>
        <v/>
      </c>
    </row>
    <row r="26" spans="1:7" x14ac:dyDescent="0.35">
      <c r="A26" s="8"/>
      <c r="B26" s="13"/>
      <c r="C26" s="13"/>
      <c r="D26" s="8"/>
      <c r="E26" s="15" t="str">
        <f>IF($D26="","",SUMIFS('الشحنات والطلبيات'!$G$4:$G$53,'الشحنات والطلبيات'!$C$4:$C$53,$D26,'الشحنات والطلبيات'!$B$4:$B$53,"&gt;="&amp;$B26,'الشحنات والطلبيات'!$B$4:$B$53,"&lt;="&amp;$C26))</f>
        <v/>
      </c>
      <c r="F26" s="15" t="str">
        <f>IF($D26="","",SUMIFS('المصاريف التشغيلية'!$E$4:$E$53,'المصاريف التشغيلية'!$G$4:$G$53,$D26,'المصاريف التشغيلية'!$B$4:$B$53,"&gt;="&amp;$B26,'المصاريف التشغيلية'!$B$4:$B$53,"&lt;="&amp;$C26))</f>
        <v/>
      </c>
      <c r="G26" s="17" t="str">
        <f t="shared" si="0"/>
        <v/>
      </c>
    </row>
    <row r="27" spans="1:7" x14ac:dyDescent="0.35">
      <c r="A27" s="8"/>
      <c r="B27" s="13"/>
      <c r="C27" s="13"/>
      <c r="D27" s="8"/>
      <c r="E27" s="15" t="str">
        <f>IF($D27="","",SUMIFS('الشحنات والطلبيات'!$G$4:$G$53,'الشحنات والطلبيات'!$C$4:$C$53,$D27,'الشحنات والطلبيات'!$B$4:$B$53,"&gt;="&amp;$B27,'الشحنات والطلبيات'!$B$4:$B$53,"&lt;="&amp;$C27))</f>
        <v/>
      </c>
      <c r="F27" s="15" t="str">
        <f>IF($D27="","",SUMIFS('المصاريف التشغيلية'!$E$4:$E$53,'المصاريف التشغيلية'!$G$4:$G$53,$D27,'المصاريف التشغيلية'!$B$4:$B$53,"&gt;="&amp;$B27,'المصاريف التشغيلية'!$B$4:$B$53,"&lt;="&amp;$C27))</f>
        <v/>
      </c>
      <c r="G27" s="17" t="str">
        <f t="shared" si="0"/>
        <v/>
      </c>
    </row>
    <row r="28" spans="1:7" x14ac:dyDescent="0.35">
      <c r="A28" s="8"/>
      <c r="B28" s="13"/>
      <c r="C28" s="13"/>
      <c r="D28" s="8"/>
      <c r="E28" s="15" t="str">
        <f>IF($D28="","",SUMIFS('الشحنات والطلبيات'!$G$4:$G$53,'الشحنات والطلبيات'!$C$4:$C$53,$D28,'الشحنات والطلبيات'!$B$4:$B$53,"&gt;="&amp;$B28,'الشحنات والطلبيات'!$B$4:$B$53,"&lt;="&amp;$C28))</f>
        <v/>
      </c>
      <c r="F28" s="15" t="str">
        <f>IF($D28="","",SUMIFS('المصاريف التشغيلية'!$E$4:$E$53,'المصاريف التشغيلية'!$G$4:$G$53,$D28,'المصاريف التشغيلية'!$B$4:$B$53,"&gt;="&amp;$B28,'المصاريف التشغيلية'!$B$4:$B$53,"&lt;="&amp;$C28))</f>
        <v/>
      </c>
      <c r="G28" s="17" t="str">
        <f t="shared" si="0"/>
        <v/>
      </c>
    </row>
    <row r="29" spans="1:7" x14ac:dyDescent="0.35">
      <c r="A29" s="8"/>
      <c r="B29" s="13"/>
      <c r="C29" s="13"/>
      <c r="D29" s="8"/>
      <c r="E29" s="15" t="str">
        <f>IF($D29="","",SUMIFS('الشحنات والطلبيات'!$G$4:$G$53,'الشحنات والطلبيات'!$C$4:$C$53,$D29,'الشحنات والطلبيات'!$B$4:$B$53,"&gt;="&amp;$B29,'الشحنات والطلبيات'!$B$4:$B$53,"&lt;="&amp;$C29))</f>
        <v/>
      </c>
      <c r="F29" s="15" t="str">
        <f>IF($D29="","",SUMIFS('المصاريف التشغيلية'!$E$4:$E$53,'المصاريف التشغيلية'!$G$4:$G$53,$D29,'المصاريف التشغيلية'!$B$4:$B$53,"&gt;="&amp;$B29,'المصاريف التشغيلية'!$B$4:$B$53,"&lt;="&amp;$C29))</f>
        <v/>
      </c>
      <c r="G29" s="17" t="str">
        <f t="shared" si="0"/>
        <v/>
      </c>
    </row>
    <row r="30" spans="1:7" x14ac:dyDescent="0.35">
      <c r="A30" s="8"/>
      <c r="B30" s="13"/>
      <c r="C30" s="13"/>
      <c r="D30" s="8"/>
      <c r="E30" s="15" t="str">
        <f>IF($D30="","",SUMIFS('الشحنات والطلبيات'!$G$4:$G$53,'الشحنات والطلبيات'!$C$4:$C$53,$D30,'الشحنات والطلبيات'!$B$4:$B$53,"&gt;="&amp;$B30,'الشحنات والطلبيات'!$B$4:$B$53,"&lt;="&amp;$C30))</f>
        <v/>
      </c>
      <c r="F30" s="15" t="str">
        <f>IF($D30="","",SUMIFS('المصاريف التشغيلية'!$E$4:$E$53,'المصاريف التشغيلية'!$G$4:$G$53,$D30,'المصاريف التشغيلية'!$B$4:$B$53,"&gt;="&amp;$B30,'المصاريف التشغيلية'!$B$4:$B$53,"&lt;="&amp;$C30))</f>
        <v/>
      </c>
      <c r="G30" s="17" t="str">
        <f t="shared" si="0"/>
        <v/>
      </c>
    </row>
    <row r="31" spans="1:7" x14ac:dyDescent="0.35">
      <c r="A31" s="8"/>
      <c r="B31" s="13"/>
      <c r="C31" s="13"/>
      <c r="D31" s="8"/>
      <c r="E31" s="15" t="str">
        <f>IF($D31="","",SUMIFS('الشحنات والطلبيات'!$G$4:$G$53,'الشحنات والطلبيات'!$C$4:$C$53,$D31,'الشحنات والطلبيات'!$B$4:$B$53,"&gt;="&amp;$B31,'الشحنات والطلبيات'!$B$4:$B$53,"&lt;="&amp;$C31))</f>
        <v/>
      </c>
      <c r="F31" s="15" t="str">
        <f>IF($D31="","",SUMIFS('المصاريف التشغيلية'!$E$4:$E$53,'المصاريف التشغيلية'!$G$4:$G$53,$D31,'المصاريف التشغيلية'!$B$4:$B$53,"&gt;="&amp;$B31,'المصاريف التشغيلية'!$B$4:$B$53,"&lt;="&amp;$C31))</f>
        <v/>
      </c>
      <c r="G31" s="17" t="str">
        <f t="shared" si="0"/>
        <v/>
      </c>
    </row>
    <row r="32" spans="1:7" x14ac:dyDescent="0.35">
      <c r="A32" s="8"/>
      <c r="B32" s="13"/>
      <c r="C32" s="13"/>
      <c r="D32" s="8"/>
      <c r="E32" s="15" t="str">
        <f>IF($D32="","",SUMIFS('الشحنات والطلبيات'!$G$4:$G$53,'الشحنات والطلبيات'!$C$4:$C$53,$D32,'الشحنات والطلبيات'!$B$4:$B$53,"&gt;="&amp;$B32,'الشحنات والطلبيات'!$B$4:$B$53,"&lt;="&amp;$C32))</f>
        <v/>
      </c>
      <c r="F32" s="15" t="str">
        <f>IF($D32="","",SUMIFS('المصاريف التشغيلية'!$E$4:$E$53,'المصاريف التشغيلية'!$G$4:$G$53,$D32,'المصاريف التشغيلية'!$B$4:$B$53,"&gt;="&amp;$B32,'المصاريف التشغيلية'!$B$4:$B$53,"&lt;="&amp;$C32))</f>
        <v/>
      </c>
      <c r="G32" s="17" t="str">
        <f t="shared" si="0"/>
        <v/>
      </c>
    </row>
    <row r="33" spans="1:7" x14ac:dyDescent="0.35">
      <c r="A33" s="8"/>
      <c r="B33" s="13"/>
      <c r="C33" s="13"/>
      <c r="D33" s="8"/>
      <c r="E33" s="15" t="str">
        <f>IF($D33="","",SUMIFS('الشحنات والطلبيات'!$G$4:$G$53,'الشحنات والطلبيات'!$C$4:$C$53,$D33,'الشحنات والطلبيات'!$B$4:$B$53,"&gt;="&amp;$B33,'الشحنات والطلبيات'!$B$4:$B$53,"&lt;="&amp;$C33))</f>
        <v/>
      </c>
      <c r="F33" s="15" t="str">
        <f>IF($D33="","",SUMIFS('المصاريف التشغيلية'!$E$4:$E$53,'المصاريف التشغيلية'!$G$4:$G$53,$D33,'المصاريف التشغيلية'!$B$4:$B$53,"&gt;="&amp;$B33,'المصاريف التشغيلية'!$B$4:$B$53,"&lt;="&amp;$C33))</f>
        <v/>
      </c>
      <c r="G33" s="17" t="str">
        <f t="shared" si="0"/>
        <v/>
      </c>
    </row>
    <row r="34" spans="1:7" x14ac:dyDescent="0.35">
      <c r="A34" s="8"/>
      <c r="B34" s="13"/>
      <c r="C34" s="13"/>
      <c r="D34" s="8"/>
      <c r="E34" s="15" t="str">
        <f>IF($D34="","",SUMIFS('الشحنات والطلبيات'!$G$4:$G$53,'الشحنات والطلبيات'!$C$4:$C$53,$D34,'الشحنات والطلبيات'!$B$4:$B$53,"&gt;="&amp;$B34,'الشحنات والطلبيات'!$B$4:$B$53,"&lt;="&amp;$C34))</f>
        <v/>
      </c>
      <c r="F34" s="15" t="str">
        <f>IF($D34="","",SUMIFS('المصاريف التشغيلية'!$E$4:$E$53,'المصاريف التشغيلية'!$G$4:$G$53,$D34,'المصاريف التشغيلية'!$B$4:$B$53,"&gt;="&amp;$B34,'المصاريف التشغيلية'!$B$4:$B$53,"&lt;="&amp;$C34))</f>
        <v/>
      </c>
      <c r="G34" s="17" t="str">
        <f t="shared" si="0"/>
        <v/>
      </c>
    </row>
    <row r="35" spans="1:7" x14ac:dyDescent="0.35">
      <c r="A35" s="8"/>
      <c r="B35" s="13"/>
      <c r="C35" s="13"/>
      <c r="D35" s="8"/>
      <c r="E35" s="15" t="str">
        <f>IF($D35="","",SUMIFS('الشحنات والطلبيات'!$G$4:$G$53,'الشحنات والطلبيات'!$C$4:$C$53,$D35,'الشحنات والطلبيات'!$B$4:$B$53,"&gt;="&amp;$B35,'الشحنات والطلبيات'!$B$4:$B$53,"&lt;="&amp;$C35))</f>
        <v/>
      </c>
      <c r="F35" s="15" t="str">
        <f>IF($D35="","",SUMIFS('المصاريف التشغيلية'!$E$4:$E$53,'المصاريف التشغيلية'!$G$4:$G$53,$D35,'المصاريف التشغيلية'!$B$4:$B$53,"&gt;="&amp;$B35,'المصاريف التشغيلية'!$B$4:$B$53,"&lt;="&amp;$C35))</f>
        <v/>
      </c>
      <c r="G35" s="17" t="str">
        <f t="shared" si="0"/>
        <v/>
      </c>
    </row>
    <row r="36" spans="1:7" x14ac:dyDescent="0.35">
      <c r="A36" s="8"/>
      <c r="B36" s="13"/>
      <c r="C36" s="13"/>
      <c r="D36" s="8"/>
      <c r="E36" s="15" t="str">
        <f>IF($D36="","",SUMIFS('الشحنات والطلبيات'!$G$4:$G$53,'الشحنات والطلبيات'!$C$4:$C$53,$D36,'الشحنات والطلبيات'!$B$4:$B$53,"&gt;="&amp;$B36,'الشحنات والطلبيات'!$B$4:$B$53,"&lt;="&amp;$C36))</f>
        <v/>
      </c>
      <c r="F36" s="15" t="str">
        <f>IF($D36="","",SUMIFS('المصاريف التشغيلية'!$E$4:$E$53,'المصاريف التشغيلية'!$G$4:$G$53,$D36,'المصاريف التشغيلية'!$B$4:$B$53,"&gt;="&amp;$B36,'المصاريف التشغيلية'!$B$4:$B$53,"&lt;="&amp;$C36))</f>
        <v/>
      </c>
      <c r="G36" s="17" t="str">
        <f t="shared" ref="G36:G67" si="1">IF($D36="","",E36-F36)</f>
        <v/>
      </c>
    </row>
    <row r="37" spans="1:7" x14ac:dyDescent="0.35">
      <c r="A37" s="8"/>
      <c r="B37" s="13"/>
      <c r="C37" s="13"/>
      <c r="D37" s="8"/>
      <c r="E37" s="15" t="str">
        <f>IF($D37="","",SUMIFS('الشحنات والطلبيات'!$G$4:$G$53,'الشحنات والطلبيات'!$C$4:$C$53,$D37,'الشحنات والطلبيات'!$B$4:$B$53,"&gt;="&amp;$B37,'الشحنات والطلبيات'!$B$4:$B$53,"&lt;="&amp;$C37))</f>
        <v/>
      </c>
      <c r="F37" s="15" t="str">
        <f>IF($D37="","",SUMIFS('المصاريف التشغيلية'!$E$4:$E$53,'المصاريف التشغيلية'!$G$4:$G$53,$D37,'المصاريف التشغيلية'!$B$4:$B$53,"&gt;="&amp;$B37,'المصاريف التشغيلية'!$B$4:$B$53,"&lt;="&amp;$C37))</f>
        <v/>
      </c>
      <c r="G37" s="17" t="str">
        <f t="shared" si="1"/>
        <v/>
      </c>
    </row>
    <row r="38" spans="1:7" x14ac:dyDescent="0.35">
      <c r="A38" s="8"/>
      <c r="B38" s="13"/>
      <c r="C38" s="13"/>
      <c r="D38" s="8"/>
      <c r="E38" s="15" t="str">
        <f>IF($D38="","",SUMIFS('الشحنات والطلبيات'!$G$4:$G$53,'الشحنات والطلبيات'!$C$4:$C$53,$D38,'الشحنات والطلبيات'!$B$4:$B$53,"&gt;="&amp;$B38,'الشحنات والطلبيات'!$B$4:$B$53,"&lt;="&amp;$C38))</f>
        <v/>
      </c>
      <c r="F38" s="15" t="str">
        <f>IF($D38="","",SUMIFS('المصاريف التشغيلية'!$E$4:$E$53,'المصاريف التشغيلية'!$G$4:$G$53,$D38,'المصاريف التشغيلية'!$B$4:$B$53,"&gt;="&amp;$B38,'المصاريف التشغيلية'!$B$4:$B$53,"&lt;="&amp;$C38))</f>
        <v/>
      </c>
      <c r="G38" s="17" t="str">
        <f t="shared" si="1"/>
        <v/>
      </c>
    </row>
    <row r="39" spans="1:7" x14ac:dyDescent="0.35">
      <c r="A39" s="8"/>
      <c r="B39" s="13"/>
      <c r="C39" s="13"/>
      <c r="D39" s="8"/>
      <c r="E39" s="15" t="str">
        <f>IF($D39="","",SUMIFS('الشحنات والطلبيات'!$G$4:$G$53,'الشحنات والطلبيات'!$C$4:$C$53,$D39,'الشحنات والطلبيات'!$B$4:$B$53,"&gt;="&amp;$B39,'الشحنات والطلبيات'!$B$4:$B$53,"&lt;="&amp;$C39))</f>
        <v/>
      </c>
      <c r="F39" s="15" t="str">
        <f>IF($D39="","",SUMIFS('المصاريف التشغيلية'!$E$4:$E$53,'المصاريف التشغيلية'!$G$4:$G$53,$D39,'المصاريف التشغيلية'!$B$4:$B$53,"&gt;="&amp;$B39,'المصاريف التشغيلية'!$B$4:$B$53,"&lt;="&amp;$C39))</f>
        <v/>
      </c>
      <c r="G39" s="17" t="str">
        <f t="shared" si="1"/>
        <v/>
      </c>
    </row>
    <row r="40" spans="1:7" x14ac:dyDescent="0.35">
      <c r="A40" s="8"/>
      <c r="B40" s="13"/>
      <c r="C40" s="13"/>
      <c r="D40" s="8"/>
      <c r="E40" s="15" t="str">
        <f>IF($D40="","",SUMIFS('الشحنات والطلبيات'!$G$4:$G$53,'الشحنات والطلبيات'!$C$4:$C$53,$D40,'الشحنات والطلبيات'!$B$4:$B$53,"&gt;="&amp;$B40,'الشحنات والطلبيات'!$B$4:$B$53,"&lt;="&amp;$C40))</f>
        <v/>
      </c>
      <c r="F40" s="15" t="str">
        <f>IF($D40="","",SUMIFS('المصاريف التشغيلية'!$E$4:$E$53,'المصاريف التشغيلية'!$G$4:$G$53,$D40,'المصاريف التشغيلية'!$B$4:$B$53,"&gt;="&amp;$B40,'المصاريف التشغيلية'!$B$4:$B$53,"&lt;="&amp;$C40))</f>
        <v/>
      </c>
      <c r="G40" s="17" t="str">
        <f t="shared" si="1"/>
        <v/>
      </c>
    </row>
    <row r="41" spans="1:7" x14ac:dyDescent="0.35">
      <c r="A41" s="8"/>
      <c r="B41" s="13"/>
      <c r="C41" s="13"/>
      <c r="D41" s="8"/>
      <c r="E41" s="15" t="str">
        <f>IF($D41="","",SUMIFS('الشحنات والطلبيات'!$G$4:$G$53,'الشحنات والطلبيات'!$C$4:$C$53,$D41,'الشحنات والطلبيات'!$B$4:$B$53,"&gt;="&amp;$B41,'الشحنات والطلبيات'!$B$4:$B$53,"&lt;="&amp;$C41))</f>
        <v/>
      </c>
      <c r="F41" s="15" t="str">
        <f>IF($D41="","",SUMIFS('المصاريف التشغيلية'!$E$4:$E$53,'المصاريف التشغيلية'!$G$4:$G$53,$D41,'المصاريف التشغيلية'!$B$4:$B$53,"&gt;="&amp;$B41,'المصاريف التشغيلية'!$B$4:$B$53,"&lt;="&amp;$C41))</f>
        <v/>
      </c>
      <c r="G41" s="17" t="str">
        <f t="shared" si="1"/>
        <v/>
      </c>
    </row>
    <row r="42" spans="1:7" x14ac:dyDescent="0.35">
      <c r="A42" s="8"/>
      <c r="B42" s="13"/>
      <c r="C42" s="13"/>
      <c r="D42" s="8"/>
      <c r="E42" s="15" t="str">
        <f>IF($D42="","",SUMIFS('الشحنات والطلبيات'!$G$4:$G$53,'الشحنات والطلبيات'!$C$4:$C$53,$D42,'الشحنات والطلبيات'!$B$4:$B$53,"&gt;="&amp;$B42,'الشحنات والطلبيات'!$B$4:$B$53,"&lt;="&amp;$C42))</f>
        <v/>
      </c>
      <c r="F42" s="15" t="str">
        <f>IF($D42="","",SUMIFS('المصاريف التشغيلية'!$E$4:$E$53,'المصاريف التشغيلية'!$G$4:$G$53,$D42,'المصاريف التشغيلية'!$B$4:$B$53,"&gt;="&amp;$B42,'المصاريف التشغيلية'!$B$4:$B$53,"&lt;="&amp;$C42))</f>
        <v/>
      </c>
      <c r="G42" s="17" t="str">
        <f t="shared" si="1"/>
        <v/>
      </c>
    </row>
    <row r="43" spans="1:7" x14ac:dyDescent="0.35">
      <c r="A43" s="8"/>
      <c r="B43" s="13"/>
      <c r="C43" s="13"/>
      <c r="D43" s="8"/>
      <c r="E43" s="15" t="str">
        <f>IF($D43="","",SUMIFS('الشحنات والطلبيات'!$G$4:$G$53,'الشحنات والطلبيات'!$C$4:$C$53,$D43,'الشحنات والطلبيات'!$B$4:$B$53,"&gt;="&amp;$B43,'الشحنات والطلبيات'!$B$4:$B$53,"&lt;="&amp;$C43))</f>
        <v/>
      </c>
      <c r="F43" s="15" t="str">
        <f>IF($D43="","",SUMIFS('المصاريف التشغيلية'!$E$4:$E$53,'المصاريف التشغيلية'!$G$4:$G$53,$D43,'المصاريف التشغيلية'!$B$4:$B$53,"&gt;="&amp;$B43,'المصاريف التشغيلية'!$B$4:$B$53,"&lt;="&amp;$C43))</f>
        <v/>
      </c>
      <c r="G43" s="17" t="str">
        <f t="shared" si="1"/>
        <v/>
      </c>
    </row>
    <row r="44" spans="1:7" x14ac:dyDescent="0.35">
      <c r="A44" s="8"/>
      <c r="B44" s="13"/>
      <c r="C44" s="13"/>
      <c r="D44" s="8"/>
      <c r="E44" s="15" t="str">
        <f>IF($D44="","",SUMIFS('الشحنات والطلبيات'!$G$4:$G$53,'الشحنات والطلبيات'!$C$4:$C$53,$D44,'الشحنات والطلبيات'!$B$4:$B$53,"&gt;="&amp;$B44,'الشحنات والطلبيات'!$B$4:$B$53,"&lt;="&amp;$C44))</f>
        <v/>
      </c>
      <c r="F44" s="15" t="str">
        <f>IF($D44="","",SUMIFS('المصاريف التشغيلية'!$E$4:$E$53,'المصاريف التشغيلية'!$G$4:$G$53,$D44,'المصاريف التشغيلية'!$B$4:$B$53,"&gt;="&amp;$B44,'المصاريف التشغيلية'!$B$4:$B$53,"&lt;="&amp;$C44))</f>
        <v/>
      </c>
      <c r="G44" s="17" t="str">
        <f t="shared" si="1"/>
        <v/>
      </c>
    </row>
    <row r="45" spans="1:7" x14ac:dyDescent="0.35">
      <c r="A45" s="8"/>
      <c r="B45" s="13"/>
      <c r="C45" s="13"/>
      <c r="D45" s="8"/>
      <c r="E45" s="15" t="str">
        <f>IF($D45="","",SUMIFS('الشحنات والطلبيات'!$G$4:$G$53,'الشحنات والطلبيات'!$C$4:$C$53,$D45,'الشحنات والطلبيات'!$B$4:$B$53,"&gt;="&amp;$B45,'الشحنات والطلبيات'!$B$4:$B$53,"&lt;="&amp;$C45))</f>
        <v/>
      </c>
      <c r="F45" s="15" t="str">
        <f>IF($D45="","",SUMIFS('المصاريف التشغيلية'!$E$4:$E$53,'المصاريف التشغيلية'!$G$4:$G$53,$D45,'المصاريف التشغيلية'!$B$4:$B$53,"&gt;="&amp;$B45,'المصاريف التشغيلية'!$B$4:$B$53,"&lt;="&amp;$C45))</f>
        <v/>
      </c>
      <c r="G45" s="17" t="str">
        <f t="shared" si="1"/>
        <v/>
      </c>
    </row>
    <row r="46" spans="1:7" x14ac:dyDescent="0.35">
      <c r="A46" s="8"/>
      <c r="B46" s="13"/>
      <c r="C46" s="13"/>
      <c r="D46" s="8"/>
      <c r="E46" s="15" t="str">
        <f>IF($D46="","",SUMIFS('الشحنات والطلبيات'!$G$4:$G$53,'الشحنات والطلبيات'!$C$4:$C$53,$D46,'الشحنات والطلبيات'!$B$4:$B$53,"&gt;="&amp;$B46,'الشحنات والطلبيات'!$B$4:$B$53,"&lt;="&amp;$C46))</f>
        <v/>
      </c>
      <c r="F46" s="15" t="str">
        <f>IF($D46="","",SUMIFS('المصاريف التشغيلية'!$E$4:$E$53,'المصاريف التشغيلية'!$G$4:$G$53,$D46,'المصاريف التشغيلية'!$B$4:$B$53,"&gt;="&amp;$B46,'المصاريف التشغيلية'!$B$4:$B$53,"&lt;="&amp;$C46))</f>
        <v/>
      </c>
      <c r="G46" s="17" t="str">
        <f t="shared" si="1"/>
        <v/>
      </c>
    </row>
    <row r="47" spans="1:7" x14ac:dyDescent="0.35">
      <c r="A47" s="8"/>
      <c r="B47" s="13"/>
      <c r="C47" s="13"/>
      <c r="D47" s="8"/>
      <c r="E47" s="15" t="str">
        <f>IF($D47="","",SUMIFS('الشحنات والطلبيات'!$G$4:$G$53,'الشحنات والطلبيات'!$C$4:$C$53,$D47,'الشحنات والطلبيات'!$B$4:$B$53,"&gt;="&amp;$B47,'الشحنات والطلبيات'!$B$4:$B$53,"&lt;="&amp;$C47))</f>
        <v/>
      </c>
      <c r="F47" s="15" t="str">
        <f>IF($D47="","",SUMIFS('المصاريف التشغيلية'!$E$4:$E$53,'المصاريف التشغيلية'!$G$4:$G$53,$D47,'المصاريف التشغيلية'!$B$4:$B$53,"&gt;="&amp;$B47,'المصاريف التشغيلية'!$B$4:$B$53,"&lt;="&amp;$C47))</f>
        <v/>
      </c>
      <c r="G47" s="17" t="str">
        <f t="shared" si="1"/>
        <v/>
      </c>
    </row>
    <row r="48" spans="1:7" x14ac:dyDescent="0.35">
      <c r="A48" s="8"/>
      <c r="B48" s="13"/>
      <c r="C48" s="13"/>
      <c r="D48" s="8"/>
      <c r="E48" s="15" t="str">
        <f>IF($D48="","",SUMIFS('الشحنات والطلبيات'!$G$4:$G$53,'الشحنات والطلبيات'!$C$4:$C$53,$D48,'الشحنات والطلبيات'!$B$4:$B$53,"&gt;="&amp;$B48,'الشحنات والطلبيات'!$B$4:$B$53,"&lt;="&amp;$C48))</f>
        <v/>
      </c>
      <c r="F48" s="15" t="str">
        <f>IF($D48="","",SUMIFS('المصاريف التشغيلية'!$E$4:$E$53,'المصاريف التشغيلية'!$G$4:$G$53,$D48,'المصاريف التشغيلية'!$B$4:$B$53,"&gt;="&amp;$B48,'المصاريف التشغيلية'!$B$4:$B$53,"&lt;="&amp;$C48))</f>
        <v/>
      </c>
      <c r="G48" s="17" t="str">
        <f t="shared" si="1"/>
        <v/>
      </c>
    </row>
    <row r="49" spans="1:7" x14ac:dyDescent="0.35">
      <c r="A49" s="8"/>
      <c r="B49" s="13"/>
      <c r="C49" s="13"/>
      <c r="D49" s="8"/>
      <c r="E49" s="15" t="str">
        <f>IF($D49="","",SUMIFS('الشحنات والطلبيات'!$G$4:$G$53,'الشحنات والطلبيات'!$C$4:$C$53,$D49,'الشحنات والطلبيات'!$B$4:$B$53,"&gt;="&amp;$B49,'الشحنات والطلبيات'!$B$4:$B$53,"&lt;="&amp;$C49))</f>
        <v/>
      </c>
      <c r="F49" s="15" t="str">
        <f>IF($D49="","",SUMIFS('المصاريف التشغيلية'!$E$4:$E$53,'المصاريف التشغيلية'!$G$4:$G$53,$D49,'المصاريف التشغيلية'!$B$4:$B$53,"&gt;="&amp;$B49,'المصاريف التشغيلية'!$B$4:$B$53,"&lt;="&amp;$C49))</f>
        <v/>
      </c>
      <c r="G49" s="17" t="str">
        <f t="shared" si="1"/>
        <v/>
      </c>
    </row>
    <row r="50" spans="1:7" x14ac:dyDescent="0.35">
      <c r="A50" s="8"/>
      <c r="B50" s="13"/>
      <c r="C50" s="13"/>
      <c r="D50" s="8"/>
      <c r="E50" s="15" t="str">
        <f>IF($D50="","",SUMIFS('الشحنات والطلبيات'!$G$4:$G$53,'الشحنات والطلبيات'!$C$4:$C$53,$D50,'الشحنات والطلبيات'!$B$4:$B$53,"&gt;="&amp;$B50,'الشحنات والطلبيات'!$B$4:$B$53,"&lt;="&amp;$C50))</f>
        <v/>
      </c>
      <c r="F50" s="15" t="str">
        <f>IF($D50="","",SUMIFS('المصاريف التشغيلية'!$E$4:$E$53,'المصاريف التشغيلية'!$G$4:$G$53,$D50,'المصاريف التشغيلية'!$B$4:$B$53,"&gt;="&amp;$B50,'المصاريف التشغيلية'!$B$4:$B$53,"&lt;="&amp;$C50))</f>
        <v/>
      </c>
      <c r="G50" s="17" t="str">
        <f t="shared" si="1"/>
        <v/>
      </c>
    </row>
    <row r="51" spans="1:7" x14ac:dyDescent="0.35">
      <c r="A51" s="8"/>
      <c r="B51" s="13"/>
      <c r="C51" s="13"/>
      <c r="D51" s="8"/>
      <c r="E51" s="15" t="str">
        <f>IF($D51="","",SUMIFS('الشحنات والطلبيات'!$G$4:$G$53,'الشحنات والطلبيات'!$C$4:$C$53,$D51,'الشحنات والطلبيات'!$B$4:$B$53,"&gt;="&amp;$B51,'الشحنات والطلبيات'!$B$4:$B$53,"&lt;="&amp;$C51))</f>
        <v/>
      </c>
      <c r="F51" s="15" t="str">
        <f>IF($D51="","",SUMIFS('المصاريف التشغيلية'!$E$4:$E$53,'المصاريف التشغيلية'!$G$4:$G$53,$D51,'المصاريف التشغيلية'!$B$4:$B$53,"&gt;="&amp;$B51,'المصاريف التشغيلية'!$B$4:$B$53,"&lt;="&amp;$C51))</f>
        <v/>
      </c>
      <c r="G51" s="17" t="str">
        <f t="shared" si="1"/>
        <v/>
      </c>
    </row>
    <row r="52" spans="1:7" x14ac:dyDescent="0.35">
      <c r="A52" s="8"/>
      <c r="B52" s="13"/>
      <c r="C52" s="13"/>
      <c r="D52" s="8"/>
      <c r="E52" s="15" t="str">
        <f>IF($D52="","",SUMIFS('الشحنات والطلبيات'!$G$4:$G$53,'الشحنات والطلبيات'!$C$4:$C$53,$D52,'الشحنات والطلبيات'!$B$4:$B$53,"&gt;="&amp;$B52,'الشحنات والطلبيات'!$B$4:$B$53,"&lt;="&amp;$C52))</f>
        <v/>
      </c>
      <c r="F52" s="15" t="str">
        <f>IF($D52="","",SUMIFS('المصاريف التشغيلية'!$E$4:$E$53,'المصاريف التشغيلية'!$G$4:$G$53,$D52,'المصاريف التشغيلية'!$B$4:$B$53,"&gt;="&amp;$B52,'المصاريف التشغيلية'!$B$4:$B$53,"&lt;="&amp;$C52))</f>
        <v/>
      </c>
      <c r="G52" s="17" t="str">
        <f t="shared" si="1"/>
        <v/>
      </c>
    </row>
    <row r="53" spans="1:7" x14ac:dyDescent="0.35">
      <c r="A53" s="8"/>
      <c r="B53" s="13"/>
      <c r="C53" s="13"/>
      <c r="D53" s="8"/>
      <c r="E53" s="15" t="str">
        <f>IF($D53="","",SUMIFS('الشحنات والطلبيات'!$G$4:$G$53,'الشحنات والطلبيات'!$C$4:$C$53,$D53,'الشحنات والطلبيات'!$B$4:$B$53,"&gt;="&amp;$B53,'الشحنات والطلبيات'!$B$4:$B$53,"&lt;="&amp;$C53))</f>
        <v/>
      </c>
      <c r="F53" s="15" t="str">
        <f>IF($D53="","",SUMIFS('المصاريف التشغيلية'!$E$4:$E$53,'المصاريف التشغيلية'!$G$4:$G$53,$D53,'المصاريف التشغيلية'!$B$4:$B$53,"&gt;="&amp;$B53,'المصاريف التشغيلية'!$B$4:$B$53,"&lt;="&amp;$C53))</f>
        <v/>
      </c>
      <c r="G53" s="17" t="str">
        <f t="shared" si="1"/>
        <v/>
      </c>
    </row>
    <row r="55" spans="1:7" x14ac:dyDescent="0.35">
      <c r="A55" s="9" t="s">
        <v>63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showGridLines="0" rightToLeft="1" zoomScaleNormal="100" workbookViewId="0">
      <selection activeCell="B6" sqref="B6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20" customWidth="1"/>
    <col min="4" max="4" width="18" customWidth="1"/>
  </cols>
  <sheetData>
    <row r="1" spans="1:4" ht="30" customHeight="1" x14ac:dyDescent="0.35">
      <c r="A1" s="5" t="s">
        <v>64</v>
      </c>
      <c r="B1" s="5"/>
      <c r="C1" s="5"/>
      <c r="D1" s="5"/>
    </row>
    <row r="2" spans="1:4" ht="15.75" customHeight="1" x14ac:dyDescent="0.35">
      <c r="A2" s="4"/>
      <c r="B2" s="4"/>
      <c r="C2" s="4"/>
      <c r="D2" s="4"/>
    </row>
    <row r="4" spans="1:4" x14ac:dyDescent="0.35">
      <c r="A4" s="18" t="s">
        <v>65</v>
      </c>
      <c r="B4" s="38">
        <v>1</v>
      </c>
      <c r="C4" s="18" t="s">
        <v>66</v>
      </c>
      <c r="D4" s="19">
        <f>IFERROR(VLOOKUP($B$4,'الشحنات والطلبيات'!$A:$H,2,FALSE()),"")</f>
        <v>46235</v>
      </c>
    </row>
    <row r="5" spans="1:4" x14ac:dyDescent="0.35">
      <c r="A5" s="18" t="s">
        <v>67</v>
      </c>
      <c r="B5" s="20" t="str">
        <f>IFERROR(VLOOKUP($B$4,'الشحنات والطلبيات'!$A:$H,5,FALSE()),"")</f>
        <v>شركة الأمل للتجارة</v>
      </c>
      <c r="C5" s="18" t="s">
        <v>68</v>
      </c>
      <c r="D5" s="20" t="str">
        <f>IFERROR(VLOOKUP($B$4,'الشحنات والطلبيات'!$A:$H,8,FALSE()),"")</f>
        <v>تم التسليم</v>
      </c>
    </row>
    <row r="6" spans="1:4" x14ac:dyDescent="0.35">
      <c r="A6" s="18"/>
      <c r="B6" s="20"/>
      <c r="C6" s="18"/>
      <c r="D6" s="20"/>
    </row>
    <row r="8" spans="1:4" ht="33.75" customHeight="1" x14ac:dyDescent="0.35">
      <c r="A8" s="6" t="s">
        <v>69</v>
      </c>
      <c r="B8" s="6" t="s">
        <v>22</v>
      </c>
      <c r="C8" s="6" t="s">
        <v>70</v>
      </c>
      <c r="D8" s="6" t="s">
        <v>23</v>
      </c>
    </row>
    <row r="9" spans="1:4" x14ac:dyDescent="0.35">
      <c r="A9" s="8" t="str">
        <f>"شحنة بضائع لحساب "&amp;B5</f>
        <v>شحنة بضائع لحساب شركة الأمل للتجارة</v>
      </c>
      <c r="B9" s="14">
        <f>IFERROR(VLOOKUP($B$4,'الشحنات والطلبيات'!$A:$H,6,FALSE()),"")</f>
        <v>5</v>
      </c>
      <c r="C9" s="15">
        <f>IFERROR(IF(B9=0,"",D9/B9),"")</f>
        <v>240</v>
      </c>
      <c r="D9" s="15">
        <f>IFERROR(VLOOKUP($B$4,'الشحنات والطلبيات'!$A:$H,7,FALSE()),"")</f>
        <v>1200</v>
      </c>
    </row>
    <row r="11" spans="1:4" ht="16.5" x14ac:dyDescent="0.35">
      <c r="A11" s="3" t="s">
        <v>71</v>
      </c>
      <c r="B11" s="3"/>
      <c r="C11" s="2">
        <f>D9</f>
        <v>1200</v>
      </c>
      <c r="D11" s="2"/>
    </row>
    <row r="12" spans="1:4" x14ac:dyDescent="0.35">
      <c r="D12" s="39"/>
    </row>
    <row r="14" spans="1:4" x14ac:dyDescent="0.35">
      <c r="A14" s="18" t="s">
        <v>72</v>
      </c>
      <c r="C14" s="18" t="s">
        <v>73</v>
      </c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</sheetData>
  <mergeCells count="6">
    <mergeCell ref="A1:D1"/>
    <mergeCell ref="A2:D2"/>
    <mergeCell ref="A11:B11"/>
    <mergeCell ref="C11:D11"/>
    <mergeCell ref="A15:B17"/>
    <mergeCell ref="C15:D17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'الشحنات والطلبيات'!$A$4:$A$53</xm:f>
          </x14:formula1>
          <x14:formula2>
            <xm:f>0</xm:f>
          </x14:formula2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جدول العملاء</vt:lpstr>
      <vt:lpstr>الشحنات والطلبيات</vt:lpstr>
      <vt:lpstr>المصاريف التشغيلية</vt:lpstr>
      <vt:lpstr>الحصيلة الأسبوعية</vt:lpstr>
      <vt:lpstr>وصل التسليم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KHALID AOBAD</cp:lastModifiedBy>
  <cp:revision>0</cp:revision>
  <dcterms:created xsi:type="dcterms:W3CDTF">2026-08-07T09:58:21Z</dcterms:created>
  <dcterms:modified xsi:type="dcterms:W3CDTF">2026-08-07T10:49:30Z</dcterms:modified>
  <dc:language>en-US</dc:language>
</cp:coreProperties>
</file>